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3725" activeTab="1"/>
  </bookViews>
  <sheets>
    <sheet name="统帅" sheetId="1" r:id="rId1"/>
    <sheet name="统帅技能" sheetId="3" r:id="rId2"/>
    <sheet name="统帅熟练度等级" sheetId="4" r:id="rId3"/>
    <sheet name="统帅等级奖励" sheetId="10" r:id="rId4"/>
    <sheet name="统帅推荐牌组" sheetId="8" r:id="rId5"/>
    <sheet name="标签定义表" sheetId="9" r:id="rId6"/>
  </sheets>
  <externalReferences>
    <externalReference r:id="rId7"/>
  </externalReferences>
  <definedNames>
    <definedName name="_xlnm._FilterDatabase" localSheetId="0" hidden="1">统帅!$A$1:$AE$153</definedName>
    <definedName name="_xlnm._FilterDatabase" localSheetId="1" hidden="1">统帅技能!$AB$1:$AB$86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1、回合开始时，限定X回合及之后
2、回合开始时，费用≤X
3、准备前，指定拥有特性X【没有就对阵营最多的】
4、准备前，指定没有特性X【都有不用】
5、回合开始时，对最终部将用【没有不用】</t>
        </r>
      </text>
    </comment>
    <comment ref="AB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AG3" authorId="0">
      <text/>
    </comment>
  </commentList>
</comments>
</file>

<file path=xl/sharedStrings.xml><?xml version="1.0" encoding="utf-8"?>
<sst xmlns="http://schemas.openxmlformats.org/spreadsheetml/2006/main" count="3609" uniqueCount="1400">
  <si>
    <t>ID</t>
  </si>
  <si>
    <t>是否展示</t>
  </si>
  <si>
    <t>肉鸽展示</t>
  </si>
  <si>
    <t>大圣名称</t>
  </si>
  <si>
    <t>排序</t>
  </si>
  <si>
    <t>大圣阵营</t>
  </si>
  <si>
    <t>初始皮肤id</t>
  </si>
  <si>
    <t>额外皮肤Id</t>
  </si>
  <si>
    <t>解锁段位</t>
  </si>
  <si>
    <t>部将解锁道具</t>
  </si>
  <si>
    <t>部将解锁道具消耗</t>
  </si>
  <si>
    <t>解锁消耗</t>
  </si>
  <si>
    <t>折扣文本</t>
  </si>
  <si>
    <t>机器人皮肤</t>
  </si>
  <si>
    <t>技能ID</t>
  </si>
  <si>
    <t>统帅技能是否在肉鸽玩法中展示</t>
  </si>
  <si>
    <t>卡牌组合推荐</t>
  </si>
  <si>
    <t>简介</t>
  </si>
  <si>
    <t>使用技巧</t>
  </si>
  <si>
    <t>大圣标签</t>
  </si>
  <si>
    <t>初始血量</t>
  </si>
  <si>
    <t>操作难度</t>
  </si>
  <si>
    <t>AI选择权重</t>
  </si>
  <si>
    <t>等级组</t>
  </si>
  <si>
    <t>等级奖励</t>
  </si>
  <si>
    <t>说明提示</t>
  </si>
  <si>
    <t>关联卡</t>
  </si>
  <si>
    <t>适配势力</t>
  </si>
  <si>
    <t>三选一权重</t>
  </si>
  <si>
    <t>Id</t>
  </si>
  <si>
    <t>Show</t>
  </si>
  <si>
    <t>RogueShow</t>
  </si>
  <si>
    <t>Name</t>
  </si>
  <si>
    <t>Sort</t>
  </si>
  <si>
    <t>Chief_camp</t>
  </si>
  <si>
    <t>ChieflSkin_InitiaId</t>
  </si>
  <si>
    <t>ChiefSkin_ExtraId</t>
  </si>
  <si>
    <t>UnlcokRank</t>
  </si>
  <si>
    <t>UnlockItem</t>
  </si>
  <si>
    <t>UnlockNum</t>
  </si>
  <si>
    <t>UnlockCost</t>
  </si>
  <si>
    <t>PriceText</t>
  </si>
  <si>
    <t>AISkin</t>
  </si>
  <si>
    <t>SkillId</t>
  </si>
  <si>
    <t>SkillIsShowinRouge</t>
  </si>
  <si>
    <t>CardCombo</t>
  </si>
  <si>
    <t>Brief</t>
  </si>
  <si>
    <t>HowToUse</t>
  </si>
  <si>
    <t>Label</t>
  </si>
  <si>
    <t>InitialHp</t>
  </si>
  <si>
    <t>DifficultyLevel</t>
  </si>
  <si>
    <t>AiPickValue</t>
  </si>
  <si>
    <t>LevelGroup</t>
  </si>
  <si>
    <t>LevelGiftGroup</t>
  </si>
  <si>
    <t>InstructionPrompt</t>
  </si>
  <si>
    <t>RelevantId</t>
  </si>
  <si>
    <t>FullyCamp</t>
  </si>
  <si>
    <t>PickValue</t>
  </si>
  <si>
    <t>大圣ID</t>
  </si>
  <si>
    <t>图鉴大圣是否展示
大圣选择是否出现
0否1是</t>
  </si>
  <si>
    <t>肉鸽模式是否展示大圣
0否1是</t>
  </si>
  <si>
    <t>小的在前</t>
  </si>
  <si>
    <t>大圣所属的阵营
同部将阵营</t>
  </si>
  <si>
    <t>初始就获得的
皮肤id</t>
  </si>
  <si>
    <t>额外可解锁的
大圣皮肤id</t>
  </si>
  <si>
    <t>战棋达到xx分数后解锁该英雄
-1为道具解锁
不填为默认解锁</t>
  </si>
  <si>
    <t>解锁部将使用的道具ID</t>
  </si>
  <si>
    <t>解锁部将使用的道具数量</t>
  </si>
  <si>
    <t>解锁道具#数量；解锁道具#数量</t>
  </si>
  <si>
    <t>折扣文本
客户端显示的货币折扣
道具id#文字</t>
  </si>
  <si>
    <t>大圣技能表id</t>
  </si>
  <si>
    <t>通晒技能是否在肉鸽玩法中展示</t>
  </si>
  <si>
    <t>填写大圣推荐牌组表的id
可填多个，按顺序展示</t>
  </si>
  <si>
    <t>卡牌简介文本</t>
  </si>
  <si>
    <t>卡牌使用技巧文本</t>
  </si>
  <si>
    <t>填写标签定义表ID</t>
  </si>
  <si>
    <t>大圣初始的血量值</t>
  </si>
  <si>
    <t>填写0~5</t>
  </si>
  <si>
    <t>机器人选择这名大圣的权重</t>
  </si>
  <si>
    <t>英雄等级获得的奖励
等级奖励表组ID</t>
  </si>
  <si>
    <t>图鉴 - 说明提示</t>
  </si>
  <si>
    <t>卡的类型#ID,ID;卡的类型#ID,ID
0=普通卡
1=法术</t>
  </si>
  <si>
    <t>大圣适配的势力</t>
  </si>
  <si>
    <t>int</t>
  </si>
  <si>
    <t>string</t>
  </si>
  <si>
    <t>list:int</t>
  </si>
  <si>
    <t>list:string</t>
  </si>
  <si>
    <t>float</t>
  </si>
  <si>
    <t>备用行</t>
  </si>
  <si>
    <t>菩提祖师</t>
  </si>
  <si>
    <t>30011;30012</t>
  </si>
  <si>
    <t>菩提祖师，隐居方寸山中，道法通天，深不可测。曾点化石猴孙悟空，授其变化腾云之术。只叹悟空得意忘形，祖师一语成谶：“日后惹祸，莫提我名！”拂袖而去，真乃仙人风范。</t>
  </si>
  <si>
    <t>阵容明确、操作简单的大圣。可对特定阵营施加群体增益。推荐登场同阵营卡组，花果山、天庭都非常合适。</t>
  </si>
  <si>
    <t>6;2</t>
  </si>
  <si>
    <t>黄眉</t>
  </si>
  <si>
    <t>这是卡牌的简介</t>
  </si>
  <si>
    <t>这是卡牌的使用技巧</t>
  </si>
  <si>
    <t>真武大帝</t>
  </si>
  <si>
    <t>灵玉买</t>
  </si>
  <si>
    <t>5#2500;8#680</t>
  </si>
  <si>
    <t>8#6折</t>
  </si>
  <si>
    <t>真武大帝，亦称荡魔天尊，乃镇守北方的至高天神。披发跣足，踏龟蛇，统摄真武之位，专司剪伐天下妖魔。狂傲如齐天大圣，也曾借其名号震慑狮驼岭小妖。</t>
  </si>
  <si>
    <t>能够在前期轻松占据优势的大圣。推荐在左侧一号位放置有特殊进攻能力的部将，如【三太子】和【王灵官】等。</t>
  </si>
  <si>
    <t>1;8</t>
  </si>
  <si>
    <t>金角大王</t>
  </si>
  <si>
    <t>30041;30042</t>
  </si>
  <si>
    <t>金角大王，原是老君手下守炉童子，与银角共占平顶山。手拿玉净瓶，肩搭芭蕉扇，法宝众多，诡计多端。曾连施妙计擒唐僧，怎奈孙行者智高一筹，偷宝破法，终被老君收回炼丹炉。正是：仙童下界闹一场，机关算尽返原乡。</t>
  </si>
  <si>
    <t>阵容明确、操作简单的大圣，可快速提升特定部将属性。推荐狮驼岭阵容。</t>
  </si>
  <si>
    <t>太白金星</t>
  </si>
  <si>
    <t>黄风大圣</t>
  </si>
  <si>
    <t>30061;30062</t>
  </si>
  <si>
    <t>本是灵山脚下得道的黄毛貂鼠，偷食琉璃盏内清油，占黄风岭为王。手执钢叉，最擅三昧神风，吹得天地昏暗，连齐天大圣都难睁火眼。幸遇灵吉菩萨，定风丹破法，方被收服。正是：风起黄沙遮日月，一粒宝丹定乾坤。</t>
  </si>
  <si>
    <t>以法术伤害见长的大圣，需要部将死亡以触发自身技能，与【残念】【业报】等效果相性较高。推荐使用灵山阵容。</t>
  </si>
  <si>
    <t>魔礼红</t>
  </si>
  <si>
    <t>金池长老</t>
  </si>
  <si>
    <t>30081;30082</t>
  </si>
  <si>
    <t>3008#1</t>
  </si>
  <si>
    <t>这金池长老，寿高二百七十岁，观音院住持，平日念佛诵经，看似得道高僧。怎奈贪心作祟，见唐僧锦襕袈裟，竟起歹意，纵火谋财。反烧寺院，愧恨自尽。正是：修行百年一念贪，袈裟未得命先丧！</t>
  </si>
  <si>
    <t>鬼子母神</t>
  </si>
  <si>
    <t>30091;30092;30093</t>
  </si>
  <si>
    <t>鬼子母神，又称爱子母，原为婆罗门教中的恶神，后被佛法教化，成为佛教护法二十四诸天之一的护法神，凡求子、护幼者，焚香祷告，有求必应。鬼母归善，慈悲为怀，一念转，业障消！</t>
  </si>
  <si>
    <t>综合性的大圣。既可以在利用召唤部将的属性加成取得优势，也可以在中后期召唤大量【护法】部将来触发多次触发【业报】效果或保护关键部将。</t>
  </si>
  <si>
    <t>嫦娥</t>
  </si>
  <si>
    <t>托塔天王</t>
  </si>
  <si>
    <t>七日庆典</t>
  </si>
  <si>
    <t>3011#1</t>
  </si>
  <si>
    <t>30111;30112</t>
  </si>
  <si>
    <t>托塔天王，本名李靖，三坛海会大神之父，掌天兵天将，威风凛凛。左手托玲珑宝塔，镇邪压魔。虽为天庭重臣，却忠孝难全，父子恩怨，说来令人唏嘘！正是：塔在手，威自生，一将镇乾坤！</t>
  </si>
  <si>
    <t>和【护盾】拥有最佳相性的大圣。可以尝试以【李天王】和【三太子】为核心，打造终极阵容。</t>
  </si>
  <si>
    <t>玉皇大帝</t>
  </si>
  <si>
    <t>30121;30122</t>
  </si>
  <si>
    <t>玉皇大帝端坐那凌霄宝殿之上，傲视九天，统御三界，执掌乾坤。一声令下，万神朝拜，雷部奔走，星宿听调。虽曾被悟空搅乱蟠桃会，然稳坐中天，不动如山。正是：一道圣旨传九霄，三界安泰仰龙颜。</t>
  </si>
  <si>
    <t>适合所有阵容，但对使用者具有高判断力要求的大圣。将哪一个关键部将变为金卡，是能够取胜的关键决定。</t>
  </si>
  <si>
    <t>月老</t>
  </si>
  <si>
    <t>30131;30132</t>
  </si>
  <si>
    <t>那二郎真君，清源妙道，额生天眼，手执三尖两刃刀，哮天神犬随身伴。听调不听宣，傲骨嶙峋！曾战齐天大圣，斗法云端，三百回合不分胜负。真个是：神仙俊杰，威震灌江口！</t>
  </si>
  <si>
    <t>骊山圣女</t>
  </si>
  <si>
    <t>30141;30142</t>
  </si>
  <si>
    <t>骊山老母，乃上古女仙，居骊山之巅，神通广大，慈悲为怀。常化凡人点化众生，传艺授法，助女将破敌。曾化身寡妇，试禅心，显慧眼。正是：白发慈颜藏道妙，指点迷津度万灵。</t>
  </si>
  <si>
    <t>适合所有阵容的大圣，但使用难度较高，非常考验使用者对神通法术的熟悉程度。</t>
  </si>
  <si>
    <t>6;9</t>
  </si>
  <si>
    <t>苏妲己</t>
  </si>
  <si>
    <t>人民币买</t>
  </si>
  <si>
    <t>3015#1</t>
  </si>
  <si>
    <t>本是千年狐妖附体，容颜倾城绝世，媚骨天生。凭一身魅惑妖术蛊惑商纣，迷乱君心，祸乱朝纲，残害忠良。心机阴诡，手段狠辣，搅动殷商山河动荡，乃是封神乱世中倾国祸世的绝代妖姬。</t>
  </si>
  <si>
    <t>适合所有阵容的大圣，但使用难度较高，非常考验使用者对合成哪些关键金卡的判断。</t>
  </si>
  <si>
    <t>0#1061</t>
  </si>
  <si>
    <t>玉面狐狸</t>
  </si>
  <si>
    <t>30161;30162</t>
  </si>
  <si>
    <t>万岁狐王之女，招赘牛魔王为夫，居积雷山摩云洞。生得千娇百媚，却心高气傲，仗势欺人。后因夫君恋上铁扇公主，又惹孙行者寻衅，家破人亡，香消玉殒。正是：红颜薄命狐作女，情海翻波祸自招。</t>
  </si>
  <si>
    <t>适合所有阵容的大圣，但需要使用者观察下一个对手的阵容，并养成控制费用的好习惯。</t>
  </si>
  <si>
    <t>白须飘飘，仙风道骨，掌天庭机要，常奉玉帝之命，往来凡间仙界。三请孙悟空，言辞和善；调停纷争，老成持重。看似慈祥老臣，实乃洞明世故、周旋天机的明白人！正是：一杖扶云传圣令，和风化雨稳天庭。</t>
  </si>
  <si>
    <t>适合所有阵容的大圣，但使用难度较高。其技能使其拥有更大的机会拿到关键部将，但次数限制也要求玩家对当前局势有足够的判断力。</t>
  </si>
  <si>
    <t>钟馗</t>
  </si>
  <si>
    <t>且看这钟馗爷，铁面虬髯，怒目如电，头戴个乌纱破帽。原是唐时才子，因貌丑被黜，愤而撞阶，天帝感其刚烈，封为驱魔帝君。世人敬其，常言：魑魅魍魉莫敢近，真是人间阎王爷！</t>
  </si>
  <si>
    <t>无需操作的大圣，可稳定施加群体增益。适合以【协战】为核心的卡组，推荐使用花果山、天庭阵容。</t>
  </si>
  <si>
    <t>6;8</t>
  </si>
  <si>
    <t>斗战胜佛</t>
  </si>
  <si>
    <t>齐天大圣孙悟空，大闹天宫，威震三界，经九九八十一难，护唐僧取经成功，终证正果，受封“斗战胜佛”！金箍一戴，万邪退散，火眼金睛照破妖魔。正是：昔日顽猴今作佛，灵山宝刹放光明。</t>
  </si>
  <si>
    <t>需要在前期通过战斗不断累积优势的大圣，适合以【协战】为核心的花果山阵容，也可以累积优势后转成其他阵容。</t>
  </si>
  <si>
    <t>石矶娘娘</t>
  </si>
  <si>
    <t>30201;30202;30203</t>
  </si>
  <si>
    <t>石矶娘娘，乃天地灵石得道成仙，隐居骷髅山白骨洞府。容颜冷艳绝尘，性情孤高桀骜，精通阴玄诡异道法。不循仙门礼法，行事随性刚烈，身负灵石本源修为，神通莫测，傲然立于三界，搅动仙尘风云。</t>
  </si>
  <si>
    <t>以法术伤害见长的大圣，前期哪怕部将质量不高，也可以在交战中取得优势。推荐使用灵山阵容。</t>
  </si>
  <si>
    <t>西王母</t>
  </si>
  <si>
    <t>30211;30212;30213</t>
  </si>
  <si>
    <t>30211;30212</t>
  </si>
  <si>
    <t>那瑶池西王母，凤冠霞帔，掌长生蟠桃，开琼筵宴群仙。一果延寿千载，一宴定劫轮回。威仪赫赫，慈中带严，实乃女仙之首，万灵之母！世人赞其曰：蟠桃核里三千劫，金簪划处即天涯。莫问瑶池真颜色，半是昆仑半是沙。</t>
  </si>
  <si>
    <t>适合所有阵容的大圣。其大圣技能可以提前找到关键的高星部将，但非常考验玩家对部将星级的熟悉程度。</t>
  </si>
  <si>
    <t>魔礼青</t>
  </si>
  <si>
    <t>文财神</t>
  </si>
  <si>
    <t>30231;30232</t>
  </si>
  <si>
    <t>这位老爷，头戴宰相帽，身披锦绣袍，手捧如意元宝，笑迎八方财源！原是商朝贤臣比干，赤胆忠心，无心不偏——民间尊为文财神，专管人间富贵利禄。求财者焚香礼拜，但行善事，福泽自来！</t>
  </si>
  <si>
    <t>这位老爷，头戴宰相帽，身披锦绣袍，正所谓：手捧如意金元宝，笑迎四面八方财！原是商朝贤臣比干，赤胆忠心，无心不偏——民间尊为文财神，专管人间富贵利禄。求财者焚香礼拜，但行善事，福泽自来！</t>
  </si>
  <si>
    <t>在经济方面拥有优势的大圣。可以多选取具有【登场】、【购买】效果的部将，从而充分地利用大圣技能。</t>
  </si>
  <si>
    <t>8;7</t>
  </si>
  <si>
    <t>镇元子</t>
  </si>
  <si>
    <t>3025#1</t>
  </si>
  <si>
    <t>此人神通广大，与三清称兄道弟。人参果树一朝被毁，他袖袍一抖，乾坤倒转，把个齐天大圣擒了又擒。后观音救活仙树，他哈哈一笑，竟与悟空结为兄弟！真个是：道高龙虎伏，德重鬼神钦。</t>
  </si>
  <si>
    <t>在前期具有一定优势的大圣。在不同的阶段，选择合适的【后援】部将，是取胜的关键。配合【禄星】可多次触发效果。推荐使用花果山、龙宫阵容。</t>
  </si>
  <si>
    <t>6;4</t>
  </si>
  <si>
    <t>银角大王</t>
  </si>
  <si>
    <t>30261;30262</t>
  </si>
  <si>
    <t>银角大王原是老君座下看炉的童子，却偷了紫金葫芦、玉净瓶，下界为妖。与兄金角占山为王，手段狠辣，连擒八戒沙僧。谁料葫芦反被悟空骗去，终被老君收回。正是：宝贝虽多难逆命，一场富贵化云烟！</t>
  </si>
  <si>
    <t>可以在不损失任何属性的情况下清理场上不需要的部将。推荐狮驼岭阵容。</t>
  </si>
  <si>
    <t>7;6;8</t>
  </si>
  <si>
    <t>混世魔王</t>
  </si>
  <si>
    <t>观音大神</t>
  </si>
  <si>
    <t>30281;30282</t>
  </si>
  <si>
    <t>且说那南海观音大神，慈眉善目，手持净瓶杨柳，坐莲台，驾祥云。闻声救苦，解难消灾，点化悟空，护佑取经。正是：千手千眼照乾坤，一念慈悲度众生！</t>
  </si>
  <si>
    <t>操作简单的、在寻找部将方面拥有优势的大圣。其技能可以让他以更高的频率寻找当前阶段的关键部将，多用神通是使其技能收益最大化的关键。</t>
  </si>
  <si>
    <t>女儿国王</t>
  </si>
  <si>
    <t>30301;30302</t>
  </si>
  <si>
    <t>这混世魔王，强占水帘洞天，欺占群猴，手段凶残。不料大圣学成归来，一棒将其碾作亡魂。虽是修为低微的宵小之辈，却是大圣血光初试第一人。有诗赞曰：魔头猖狂终授首，大圣初战定根基。</t>
  </si>
  <si>
    <t>无需操作的大圣，适合以【协战】为核心的卡组，推荐使用花果山、天庭。</t>
  </si>
  <si>
    <t>黄狮精</t>
  </si>
  <si>
    <t>黄狮精乃九灵元圣徒孙，占据豹头山虎口洞为巢。此妖痴迷神兵，盗走悟空师兄弟兵器，却行事独特——付钱买猪羊，开“钉耙会”。虽非大奸大恶之徒，却横死大圣棒下，令人不禁扼腕。正是：钉耙犹带耕云梦，翻作豹头山上尘。</t>
  </si>
  <si>
    <t>适合所有阵容的大圣，大圣技能可在前期提升战斗力，在中后期可养成特定的部将。</t>
  </si>
  <si>
    <t>30321;30322</t>
  </si>
  <si>
    <t>孟婆</t>
  </si>
  <si>
    <t>30331;30332</t>
  </si>
  <si>
    <t>地府掌管轮回之使，驻在奈何桥头忘川彼岸。一碗孟婆汤，管他是王侯将相、凡夫走卒，自此前尘尽忘，六道轮回去也！世人常道：一勺汤尽千般泪，三生爱恨化云烟。</t>
  </si>
  <si>
    <t>适合以【登场】部将为辅助核心的大圣，搭配【福星】可多次触发效果。推荐天庭、狮驼岭阵容。</t>
  </si>
  <si>
    <t>七日签到</t>
  </si>
  <si>
    <t>30341;30342</t>
  </si>
  <si>
    <t>3034#1</t>
  </si>
  <si>
    <t>西梁女国那女王娘娘，生得闭月羞花，性情温婉多情。遇唐僧师徒，一见倾心，愿以倾国之富，换君共度此生。虽终未能挽留圣僧西去，一片痴情仍感天动地。正是：柔情似水女儿国，一段姻缘天难全。</t>
  </si>
  <si>
    <t>适合所有阵容的大圣，额外的免费刷新使其比其他大圣有更大机会购买到心仪的部将。</t>
  </si>
  <si>
    <t>弥勒佛</t>
  </si>
  <si>
    <t>30351;30352</t>
  </si>
  <si>
    <t>秦广王</t>
  </si>
  <si>
    <t>30361;30362</t>
  </si>
  <si>
    <t>十殿阎罗之首，掌幽冥司，判善恶，量刑罚。青面獠牙，威坐森罗殿，一案一笔，定万魂轮回。世人常道：阳间一念恶，阴司已挂号，常做亏心事，夜半鬼敲门！</t>
  </si>
  <si>
    <t>适合以【残念】部将为核心的阵容，搭配【寿星】可多次触发效果。推荐龙宫、灵山阵容。</t>
  </si>
  <si>
    <t>4;3;5</t>
  </si>
  <si>
    <t>白衣哪吒</t>
  </si>
  <si>
    <t>哪吒乃李靖之三子，太乙真人之徒。生得面如傅粉，唇若涂朱，眼运睛光射斗府，眉横杀气贯虹霓。昔年大闹东海，抽龙筋做绦，揭龙鳞为甲，直打得水晶宫梁柱倾颓。后削骨还父，托生为莲，重塑法身，涤净戾气，终得果正。赞曰：拆骨还天重铸身，焚尽苍涛始净尘。佛心灭尽千劫火，莲目初开一念澄。</t>
  </si>
  <si>
    <t>后发制人的大圣，在重生后拥有大量的一次性资源。</t>
  </si>
  <si>
    <t>1#8011,8012,8013</t>
  </si>
  <si>
    <t>灵吉菩萨</t>
  </si>
  <si>
    <t>30391;30392;30393;30394;30395;30396</t>
  </si>
  <si>
    <t>敖丙</t>
  </si>
  <si>
    <t>30401;30402</t>
  </si>
  <si>
    <t>原是东海龙宫三太子，生得玉面朱缨，万鳞耀光，掌中一杆方天戟，挥动时浪涌连云。本是天庭贵胄，却因哪吒闹海命丧陈塘关，龙筋被抽，魂魄无依。后封华盖星，位列仙班。正是：戟扫龙宫寒藻碎，珠悬鲛室夜光凝。若非顽童抽筋日，凌霄殿上早封星。</t>
  </si>
  <si>
    <t>适合龙宫阵容的大圣，可以平稳过渡龙宫前期乏力的阶段。</t>
  </si>
  <si>
    <t>太阴星君座下掌姻缘之仙，居广寒宫东侧红线阁。手握姻缘簿，脚踩红线缠，掌管三界姻缘。凡间男女，命中注定，皆由他红线一牵，正所谓：千里姻缘天书定，一线能系乾坤侣。姻缘到，自有期！</t>
  </si>
  <si>
    <t>适合以【登场】【后援】部将为辅助核心的大圣，可考虑尽早通过大圣技能获得【福星】【禄星】，取得优势。</t>
  </si>
  <si>
    <t>8;6</t>
  </si>
  <si>
    <t>武财神</t>
  </si>
  <si>
    <t>那关帝圣君赤面长须，手擒青龙偃月，胯下赤兔如风。忠义参天，信义为本，招财进宝，镇宅辟邪，商贾奉为守护神。常言：义薄云天财自聚，商海扬帆赖此君。</t>
  </si>
  <si>
    <t>无需操作的大圣，可抓取前期强势阵容击败对手部将以积累经济优势。</t>
  </si>
  <si>
    <t>7;1</t>
  </si>
  <si>
    <t>30431;30432</t>
  </si>
  <si>
    <t>3043#1</t>
  </si>
  <si>
    <t>这金池长老，寿高二百七十岁，观音院住持，平日念佛诵经，看似得道高僧。怎奈贪心作祟，见唐僧锦襕袈裟，竟起歹意，纵火谋财。反烧寺院，愧恨自尽。正是：修行百年一念贪，袈裟未得命先丧。</t>
  </si>
  <si>
    <t>前期强势的大圣。开局自带的两名部将可以提高前期战斗力，而是否养成这两名部将，以及何时将他们替换成其他部将，是取胜的关键。</t>
  </si>
  <si>
    <t>0#1158,1159</t>
  </si>
  <si>
    <t>土地公</t>
  </si>
  <si>
    <t>民间尊称的福德正神，坐镇一方水土，护佑五谷丰登，小灾小难皆能化解，更是地府凡间的传信人。虽地位低微，却在民间广受敬重。真可谓：莫笑顺眼低眉相，职微敢系众生春。</t>
  </si>
  <si>
    <t>万用型的大圣，可持续回复自身血量，难度低，适合新手使用。</t>
  </si>
  <si>
    <t>李世民</t>
  </si>
  <si>
    <t>贞观太宗李世民，少年骁勇，戎马定大唐江山。经玄武之变登帝位，执掌社稷。他礼贤纳谏，励精图治，开创贞观盛世，文治武功冠绝当世，威震四海、万国来朝，乃是千古传颂的一代雄主。</t>
  </si>
  <si>
    <t>能够为多势力组成的阵营提供属性加成。</t>
  </si>
  <si>
    <t>2;0</t>
  </si>
  <si>
    <t>火德星君</t>
  </si>
  <si>
    <t>天庭火部正神，正是火德星君。身披赤焰神甲，周身烈火环绕，执掌三界万火。统御火部神兵，掌天火、焚邪祟，镇世间火厄。神威凛冽，性情刚烈，乃是坐镇南天、执掌火道的无上尊神。</t>
  </si>
  <si>
    <t>与修罗势力高度契合的大圣。</t>
  </si>
  <si>
    <t>申公豹</t>
  </si>
  <si>
    <t>形貌诡谲仙骨暗藏，精通旁门诡异玄术。口舌如簧善搅三界风云，游走仙妖之间搬弄是非。心机深沉野心勃勃，身负莫测邪法，搅动封神乱世纷争，凭一身诡道本事纵横四海，堪称乱世狡黠妖仙。</t>
  </si>
  <si>
    <t>升级商店的同时能够稳住战力，方便快速升本。</t>
  </si>
  <si>
    <t>天马</t>
  </si>
  <si>
    <t>此等神驹身姿骏健，蹄踏祥云，鬃染流光，日行万里而不倦。专供仙家驾乘，往来九霄云海，乘风逐雾，气度不凡，乃是天界行走四方的上等神骑。</t>
  </si>
  <si>
    <t>根据战场情况灵活选用坐骑，适应能力强。</t>
  </si>
  <si>
    <t>纣王</t>
  </si>
  <si>
    <t>商纣王帝辛，生来力大无双，勇冠三军，天资雄武曾震慑四方。奈何沉迷酒色、宠信妲己，暴虐无道残害忠良，荒废朝纲失尽民心。引得诸侯起兵伐商，一朝断送成汤基业，落得千古昏君之名。</t>
  </si>
  <si>
    <t>强大的铺场能力，适合新手使用。</t>
  </si>
  <si>
    <t>这位弥勒佛祖，又称东来世尊。大肚容山河，笑口纳凡尘，位列西天诸佛，执掌未来气运。性情宽厚豁达，深藏无边法力，常以嬉笑观世间因果，静待轮回机缘，是佛门一团和气的顶级大能。</t>
  </si>
  <si>
    <t>适合对能够造成法伤的部将阵容，适合灵山。</t>
  </si>
  <si>
    <t>土地娘娘</t>
  </si>
  <si>
    <t>坐镇一方山川乡土，性情温婉慈和。身蕴大地灵脉之力，执掌一方祸福兴衰，可镇邪驱祟、庇佑黎民。心怀人间烟火，默默守护四方安宁，以温润道法福泽苍生，乃是凡间接地气的福德灵神。</t>
  </si>
  <si>
    <t>通过隐匿保护核心部将，适合单核阵容。</t>
  </si>
  <si>
    <t>唐三藏</t>
  </si>
  <si>
    <t>30521;30522;30523;30524</t>
  </si>
  <si>
    <t>本为如来佛祖座下二徒金蝉子，因轻慢佛法，转生东土。托生为状元陈光蕊之子，自幼于金山寺出家，法号玄奘。唐王李世民与其结为兄弟，赐号三藏，命其往西天拜佛求经。途中收得孙悟空、猪悟能、沙悟净，并得白龙马为脚力。历尽八十一难，终至灵山，取得三藏真经，广布东土。</t>
  </si>
  <si>
    <t>经济型英雄，基本可以视为每回合多2枚金币。</t>
  </si>
  <si>
    <t>孙悟空</t>
  </si>
  <si>
    <t>30531;30532;30533;30534;30535;30536</t>
  </si>
  <si>
    <t>原是东胜神洲傲来国石猴，师从菩提祖师，习得诸般神通。自封“齐天大圣”，大闹天宫，被玉皇大帝下令擒拿。大战十万天兵，终为如来镇于五行山下。五百年后得观音菩萨点化，拜唐三藏为师，力克八十一难护其周全，终得正果，受封斗战胜佛。</t>
  </si>
  <si>
    <t>前期获得强大的战斗优势。</t>
  </si>
  <si>
    <t>1;7</t>
  </si>
  <si>
    <t>猪八戒</t>
  </si>
  <si>
    <t>30541;30542;30543;30544;30545</t>
  </si>
  <si>
    <t>本为天庭玉皇大帝手下的天蓬元帅，因醉酒调戏嫦娥，被玉皇大帝逐出天界，却错投猪胎，嘴脸与猪相似。栖身云栈洞，后被观音菩萨指点拜唐僧为师，法号悟能。历八十一难修成正果，受封净坛使者。</t>
  </si>
  <si>
    <t>更多的容错空间。</t>
  </si>
  <si>
    <t>沙和尚</t>
  </si>
  <si>
    <t>原是天庭灵霄殿前侍銮舆的卷帘大将，因在蟠桃会上失手打碎琉璃盏，触犯天条，被玉皇大帝打了八百，贬下流沙河。每七日受飞剑穿胸之刑，饥寒难忍，便上岸吃人为生。后得观音菩萨点化，归于佛门，法号悟净，于流沙河等候取经人。唐僧途经，遂拜师入门，执杖挑担，同往西天。</t>
  </si>
  <si>
    <t>一次性获得大量的金币。</t>
  </si>
  <si>
    <t>白龙马</t>
  </si>
  <si>
    <t>30561;30562</t>
  </si>
  <si>
    <t>原是西海龙王三太子，因纵火烧殿，贬为唐僧坐骑。踏云而行，日行千里，默默负圣僧西去。历经劫难，终成八部天龙。正是：龙脊承圣道，无言万里行。</t>
  </si>
  <si>
    <t>需要配合刷神通的阵容。</t>
  </si>
  <si>
    <t>姜子牙</t>
  </si>
  <si>
    <t>白发苍髯仙风道骨，隐于渭水静待机缘。胸藏安邦封神韬略，手握打神神鞭，通晓天地玄机。辅佐明主伐纣定乾坤，执掌封神大业，道韵浩然，乃是凡间得道、济世封神的千古奇仙。</t>
  </si>
  <si>
    <t>可将核心牌变为任意阵营，吃到其他阵营强力辅助牌的效果，适合任意阵营</t>
  </si>
  <si>
    <t>30581;30582;30583;30584</t>
  </si>
  <si>
    <t>本是上古仙子，冰肌玉骨胜雪霜，霓裳轻扬带桂香。误食仙药飞升月宫，独居广寒伴玉兔，琼楼玉宇间仙姿绰约，眸光清冷如月华，桂树飘香绕周身，是不染尘俗、仙韵盎然的月宫神女！</t>
  </si>
  <si>
    <t>冰冻敌方部将的效果有效妨碍对手核心部将的行动，打乱敌方行动步骤</t>
  </si>
  <si>
    <t>土行孙</t>
  </si>
  <si>
    <t>身形矮小，貌不惊人，却身怀绝世地行奇术。能遁土穿梭瞬息千里，来去无影无踪。手舞镔铁棍身法灵动诡谲，擅长潜行偷袭，纵横沙场难逢敌手，辅佐西岐伐纣，凭独门神通扬名封神乱世。</t>
  </si>
  <si>
    <t>通过在手牌保留核心牌来扩大优势，适合任何阵营</t>
  </si>
  <si>
    <t>黄眉老佛</t>
  </si>
  <si>
    <t>弥勒佛祖座下侍者，私自下界称霸一方。手握金铙、人种袋两大绝世至宝，神通广大法力无边。擅设假雷音迷惑众生，横行世间难遇敌手，搅乱西行路途，威名震慑妖仙两界。</t>
  </si>
  <si>
    <t>根据自身当前商店等级，快速刷到当前等级的核心牌，组建合适阵容，适合任何阵营</t>
  </si>
  <si>
    <t>灵虚道长</t>
  </si>
  <si>
    <t>一身素黄道袍，鹤发垂肩，常年隐居深山古观。精通符箓丹道，能辨阴阳、破邪祟，平日不问尘俗纷争，唯有百姓遭祸、妖物作乱时，方才下山济世。性子淡然洒脱，谈吐藏玄机，一身道法深不可测。</t>
  </si>
  <si>
    <t>使用技能可以更好的收集当前阵容的部将，提前调配阵容。</t>
  </si>
  <si>
    <t>试做大圣,不代表最终数据</t>
  </si>
  <si>
    <t>青龙</t>
  </si>
  <si>
    <t>这青龙乃是上古四灵之首，一身苍鳞覆体，龙角峥嵘，行云布雨执掌东方木气。性情端方威严，镇妖伏邪护佑苍生，寻常妖魔见之便胆寒。不轻易现世，但凡人间有大难，便腾云驾雾前来化解，神威浩荡莫测。</t>
  </si>
  <si>
    <t>使用本相卡在前期稳定血量，快速提升商店等级。</t>
  </si>
  <si>
    <t>0#1190</t>
  </si>
  <si>
    <t>白虎</t>
  </si>
  <si>
    <t>通体银白似雪，虎目含煞，一身杀伐之气直冲云霄。主兵戈镇凶煞，魑魅魍魉见之无不俯首逃窜。平日镇守西方金位，若非世间祸乱丛生，绝不轻离本位，威风凛凛，煞气慑人。</t>
  </si>
  <si>
    <t>直接对敌方大圣造成伤害，适合对血量低，但队伍成型的大圣进行直接收割</t>
  </si>
  <si>
    <t>艾虎</t>
  </si>
  <si>
    <t>端午商店</t>
  </si>
  <si>
    <t>3064#1</t>
  </si>
  <si>
    <t>端午门上悬的艾虎大有来头，专能驱避毒虫邪祟。古人道虎为百兽之王，艾草辟秽，二者合一镇宅安户。端午挂于门楣，护一家老小安康，消瘴气、挡五毒，是端午必不可少的镇宅好物。</t>
  </si>
  <si>
    <t>稳定提升场上部将的属性。</t>
  </si>
  <si>
    <t>3065#1</t>
  </si>
  <si>
    <t>前期强势的大圣。开局自带的部将在前期可以累计大量优势。</t>
  </si>
  <si>
    <t>0#1192</t>
  </si>
  <si>
    <t>六耳猕猴</t>
  </si>
  <si>
    <t>混世四猴之一，善聆音，能察理，变化莫测。趁悟空被逐，冒充其形，打伤唐僧，夺取行李。真假难辨，闹到地府、天庭、雷音寺，终被如来识破，一棒打杀。正是：真假难分惊寰宇，如来慧眼定是非。</t>
  </si>
  <si>
    <t>克制单个部将特别强大的对手</t>
  </si>
  <si>
    <t>高翠兰</t>
  </si>
  <si>
    <t>高翠兰乃是高老庄高太公独女，生得貌若芙蓉性情温婉，本配好人家，怎料被猪悟能强占为妻，锁于后宅三年。幸得唐僧师徒路过，悟空降妖，翠兰方脱苦海，重归自在。</t>
  </si>
  <si>
    <t>拥有强大恢复能力的大圣，有效拉长战线，适合后期强劲的阵容</t>
  </si>
  <si>
    <t>猪守拙</t>
  </si>
  <si>
    <t>生得憨态敦厚，外表看似木讷笨拙，实则大智若愚，藏一身不凡修为。平日低调内敛、守拙藏锋，不骄不躁，逢危难便展露神通，心怀侠义正气，稳立世间护苍生。</t>
  </si>
  <si>
    <t>在合适的时机使用技能，可让单个强度远超其他部将</t>
  </si>
  <si>
    <t>蜘蛛精</t>
  </si>
  <si>
    <t>30691;30692;30693</t>
  </si>
  <si>
    <t>原是盘丝洞中蜘蛛修成的女妖，占据濯垢泉，吐丝织网，捕食过往生灵。因见唐僧相貌俊俏，欲与之行采阳补阴之术，遂出手擒之。其师兄多目怪乃黄花观观主，身有千眼金光神通。后孙悟空得毗蓝婆菩萨相助，将七蛛与多目怪一并收服，方才破了此劫。</t>
  </si>
  <si>
    <t>可大幅度降低敌方攻击，针对直接伤害的部将更加有效</t>
  </si>
  <si>
    <t>大姐绯烟</t>
  </si>
  <si>
    <t>30701;30702</t>
  </si>
  <si>
    <t>绯烟本是灵蛛修形，聪慧多情却遭凡人负心，自此勘破情爱虚妄，领六妹占濯垢泉、守盘丝洞。脐吐银丝能缚仙凡，性冷心硬，唯护姊妹，誓以蛛网揽三界，不教真心再染尘！</t>
  </si>
  <si>
    <t>可以反复召唤毒蜘蛛，持续力极强</t>
  </si>
  <si>
    <t>四妹赤璃</t>
  </si>
  <si>
    <t>红衣艳绝，身姿妖娆绝尘。身怀千年蛛灵秘术，巧织天罗地网，银丝缠锁万千英豪。眉眼含媚暗藏锋芒，惑人心智，诡法难防，凭一身妖力横行洞府，独领妖娆妖威。</t>
  </si>
  <si>
    <t>持续战斗能力强大的大圣，削弱敌方，增强自己</t>
  </si>
  <si>
    <t>牛魔王</t>
  </si>
  <si>
    <t>30721;30722</t>
  </si>
  <si>
    <t>本为翠云山与积雷山的主人，号平天大圣，悟空结义兄长。其妻铁扇公主执掌芭蕉扇，掌管火焰山风雨；其子红孩儿号圣婴大王，盘踞三百里钻头号山。神通广大，交友广阔，因阻挠孙悟空师徒过火焰山，与佛道两家兵将争斗，终被哪吒及众神降服，押往西天，皈依佛门。</t>
  </si>
  <si>
    <t>通过吞噬商店部将快速提升战力,但由于是后援触发技能效果，需格外注意要保留的商店卡牌位置</t>
  </si>
  <si>
    <t>杨戬</t>
  </si>
  <si>
    <t>30731;30733;30734</t>
  </si>
  <si>
    <t>号清源妙道真君，又称二郎神，居于灌江口，为玉皇大帝之外甥。额有天眼，手持三尖两刃刀，携神犬哮天，有七十二般变化。曾奉旨擒拿大闹天宫的孙悟空，二人赌赛变化，不分胜负。后于孙悟空西行途中，亦曾出手相助，收伏九头虫等妖魔，听调不听宣，性情孤高。</t>
  </si>
  <si>
    <t>可根据实际情况，来使用不同效果</t>
  </si>
  <si>
    <t>江流儿</t>
  </si>
  <si>
    <t>30741;30742</t>
  </si>
  <si>
    <t>这江流儿生得眉目清俊，心怀慈悲禅心，自幼身负西行宿命。看似年少柔弱，却藏坚毅道根，一身浩然正气傍身。踏红尘、历磨难，以善念渡众生，凭本心抗妖邪，小小身躯自有万丈佛光。</t>
  </si>
  <si>
    <t>发挥不是很稳定的大圣，若足够幸运可以建立相当大的优势</t>
  </si>
  <si>
    <t>红孩儿</t>
  </si>
  <si>
    <t>30751;30752;30753</t>
  </si>
  <si>
    <t>乃牛魔王与铁扇公主之子，号圣婴大王。曾在云栈洞修行三百年，炼成三昧真火，销金蚀铁无所不焚。欲食唐僧肉以求长生，遂设计擒拿唐僧，并用神火破了大圣金身。后悟空请来观音以千叶莲台和天罡刀降服，自此皈依佛门，号善财童子。</t>
  </si>
  <si>
    <t>小童子</t>
  </si>
  <si>
    <t>十里坡</t>
  </si>
  <si>
    <t>缺心眼</t>
  </si>
  <si>
    <t>五行山</t>
  </si>
  <si>
    <t>高老庄</t>
  </si>
  <si>
    <t>三太子</t>
  </si>
  <si>
    <t>鹰愁涧</t>
  </si>
  <si>
    <t>沙悟净</t>
  </si>
  <si>
    <t>流沙河</t>
  </si>
  <si>
    <t>巡山小妖</t>
  </si>
  <si>
    <t>天庭守卫</t>
  </si>
  <si>
    <t>阿呆阿瓜</t>
  </si>
  <si>
    <t>黑熊精</t>
  </si>
  <si>
    <t>黑风洞</t>
  </si>
  <si>
    <t>黄风岭</t>
  </si>
  <si>
    <t>观音禅院</t>
  </si>
  <si>
    <t>平顶山</t>
  </si>
  <si>
    <t>火云洞</t>
  </si>
  <si>
    <t>袁守城</t>
  </si>
  <si>
    <t>五庄观</t>
  </si>
  <si>
    <t>骊山仙子</t>
  </si>
  <si>
    <t>骊山</t>
  </si>
  <si>
    <t>白骨精</t>
  </si>
  <si>
    <t>白虎岭</t>
  </si>
  <si>
    <t>黄袍怪</t>
  </si>
  <si>
    <t>宝象国</t>
  </si>
  <si>
    <t>大鹏金翅鸟</t>
  </si>
  <si>
    <t>狮驼岭</t>
  </si>
  <si>
    <t>孔雀公主</t>
  </si>
  <si>
    <t>女儿国</t>
  </si>
  <si>
    <t>青狮精</t>
  </si>
  <si>
    <t>乌鸡国</t>
  </si>
  <si>
    <t>虎力大仙</t>
  </si>
  <si>
    <t>车迟国</t>
  </si>
  <si>
    <t>老鼠精</t>
  </si>
  <si>
    <t>无底洞</t>
  </si>
  <si>
    <t>黄眉老祖</t>
  </si>
  <si>
    <t>黄梅老祖</t>
  </si>
  <si>
    <t>小西天</t>
  </si>
  <si>
    <t>唐王</t>
  </si>
  <si>
    <t>战狂</t>
  </si>
  <si>
    <t>金蝉子</t>
  </si>
  <si>
    <t>灵山</t>
  </si>
  <si>
    <t>无天佛祖</t>
  </si>
  <si>
    <t>山贼弓手</t>
  </si>
  <si>
    <t>吗喽元帅</t>
  </si>
  <si>
    <t>刑天</t>
  </si>
  <si>
    <t>铁算盘</t>
  </si>
  <si>
    <t>大唐侍卫</t>
  </si>
  <si>
    <t>乞丐</t>
  </si>
  <si>
    <t>山君</t>
  </si>
  <si>
    <t>独角鬼王</t>
  </si>
  <si>
    <t>东海龙王</t>
  </si>
  <si>
    <t>济公禅师</t>
  </si>
  <si>
    <t>技工和尚</t>
  </si>
  <si>
    <t>大白牛</t>
  </si>
  <si>
    <t>牛头马面</t>
  </si>
  <si>
    <t>修罗尊者</t>
  </si>
  <si>
    <t>大猿神</t>
  </si>
  <si>
    <t>投石车</t>
  </si>
  <si>
    <t>翔空三万尺</t>
  </si>
  <si>
    <t>灵虚子</t>
  </si>
  <si>
    <t>青牛精</t>
  </si>
  <si>
    <t>万岁狐仙</t>
  </si>
  <si>
    <t>红鳞大蟒</t>
  </si>
  <si>
    <t>后羿</t>
  </si>
  <si>
    <t>神怒三太子</t>
  </si>
  <si>
    <t>药叉神将</t>
  </si>
  <si>
    <t>鱼肚神将</t>
  </si>
  <si>
    <t>蜘蛛女王</t>
  </si>
  <si>
    <t>盘丝大仙</t>
  </si>
  <si>
    <t>人参果树</t>
  </si>
  <si>
    <t>九灵元圣</t>
  </si>
  <si>
    <t>通天河</t>
  </si>
  <si>
    <t>红磷大蟒</t>
  </si>
  <si>
    <t>九头虫</t>
  </si>
  <si>
    <t>毒敌大王</t>
  </si>
  <si>
    <t>技能组</t>
  </si>
  <si>
    <t>技能名称</t>
  </si>
  <si>
    <t>技能副标题</t>
  </si>
  <si>
    <t>AI策略类型</t>
  </si>
  <si>
    <t>AI策略参数</t>
  </si>
  <si>
    <t>技能描述</t>
  </si>
  <si>
    <t>技能简版内容</t>
  </si>
  <si>
    <t>技能详情内容</t>
  </si>
  <si>
    <t>是否有技能详情</t>
  </si>
  <si>
    <t>技能图标</t>
  </si>
  <si>
    <t>技能表现</t>
  </si>
  <si>
    <t>技能类型</t>
  </si>
  <si>
    <t>技能消耗</t>
  </si>
  <si>
    <t>选择目标</t>
  </si>
  <si>
    <t>拥有特性</t>
  </si>
  <si>
    <t>先机顺序</t>
  </si>
  <si>
    <t>解锁技能的商店等级</t>
  </si>
  <si>
    <t>解锁技能的回合</t>
  </si>
  <si>
    <t>限制使用次数</t>
  </si>
  <si>
    <t>使用次数减耗</t>
  </si>
  <si>
    <t>升级类型</t>
  </si>
  <si>
    <t>升级参数</t>
  </si>
  <si>
    <t>抉择卡牌技能ID</t>
  </si>
  <si>
    <t>被动触发类型</t>
  </si>
  <si>
    <t>技能参数</t>
  </si>
  <si>
    <t>参数描述</t>
  </si>
  <si>
    <t>填充参数显示</t>
  </si>
  <si>
    <t>技能填充参数</t>
  </si>
  <si>
    <t>客户端额外参数</t>
  </si>
  <si>
    <t>默认填充参数</t>
  </si>
  <si>
    <t>技能喊话ID</t>
  </si>
  <si>
    <t>SkillGroup</t>
  </si>
  <si>
    <t>SkillName</t>
  </si>
  <si>
    <t>SkillTitle</t>
  </si>
  <si>
    <t>AIStrategyType</t>
  </si>
  <si>
    <t>AIStrategyParam</t>
  </si>
  <si>
    <t>SkillDesc</t>
  </si>
  <si>
    <t>SkillDetails</t>
  </si>
  <si>
    <t>SkillSimple</t>
  </si>
  <si>
    <t>HaveDetails</t>
  </si>
  <si>
    <t>SkillIcon</t>
  </si>
  <si>
    <t>Perform_Skill</t>
  </si>
  <si>
    <t>SkillType</t>
  </si>
  <si>
    <t>SkillCost</t>
  </si>
  <si>
    <t>SelectTargetId</t>
  </si>
  <si>
    <t>FeatureID</t>
  </si>
  <si>
    <t>UnlockSkillShopLv</t>
  </si>
  <si>
    <t>UnlockSkillRound</t>
  </si>
  <si>
    <t>Limit</t>
  </si>
  <si>
    <t>UseReduceCost</t>
  </si>
  <si>
    <t>LvUpTyper</t>
  </si>
  <si>
    <t>LvUpParam</t>
  </si>
  <si>
    <t>SlectSkillID</t>
  </si>
  <si>
    <t>TriggerType</t>
  </si>
  <si>
    <t>SkillParam</t>
  </si>
  <si>
    <t>Desc</t>
  </si>
  <si>
    <t>ShowUseNumByParams</t>
  </si>
  <si>
    <t>ExtParams</t>
  </si>
  <si>
    <t>ClientExtParams</t>
  </si>
  <si>
    <t>DefaultParams</t>
  </si>
  <si>
    <t>TaskId</t>
  </si>
  <si>
    <t>服务器
技能组</t>
  </si>
  <si>
    <t>查看批注</t>
  </si>
  <si>
    <t>1、数量
2、数量
3、特性id
4、特性id</t>
  </si>
  <si>
    <t>参数在战斗中由服务器提供
在展示时,根据配置的默认填充参数展示
说明
文本规则：指定/随机-行为 -数量 -敌我 -单位类型 - 具体属性
标红规则：特性标红，指定部将、神通标红
其他规则：不写回合等于永久，写了回合就是限时
位置规则：不写就是场上，写了商店、手牌才会包含
指定规则：没写随机就是指定 ，写了其他就是不包含自身
常用名次：自身  友方部将  敌方部将  所有  其他  我方大圣  敌方大圣</t>
  </si>
  <si>
    <t>大圣选择界面 技能描述读这里</t>
  </si>
  <si>
    <t>点击详情后 技能描述读这里</t>
  </si>
  <si>
    <t>0 没有
1 有
有的话技能图标后显示详情按钮</t>
  </si>
  <si>
    <t>技能的表现
表现id</t>
  </si>
  <si>
    <t>0被动
1主动</t>
  </si>
  <si>
    <t>主动显示
消耗金币
被动不显示</t>
  </si>
  <si>
    <t>该卡操作时
选择目标id
不配是直接用</t>
  </si>
  <si>
    <t>统帅特性</t>
  </si>
  <si>
    <t>商店X级时
解锁使用该技能</t>
  </si>
  <si>
    <t xml:space="preserve">第几回合时 解锁技能
</t>
  </si>
  <si>
    <t>总次数限制</t>
  </si>
  <si>
    <t>仅限
技能用N次后
技能消耗-1点</t>
  </si>
  <si>
    <t>技能升级的类型
1、使用次数升级
2、商店等级升级
3、触发使用升级</t>
  </si>
  <si>
    <t>根据升级类型
1、使用次数
2、商店等级
3、触发次数</t>
  </si>
  <si>
    <t>使用后需要进行抉择的技能</t>
  </si>
  <si>
    <t>1、战斗开始前
2、商店升级触发
3、战斗中召唤部将
4、特性触发
5、使用卡牌
6、出售
7、购买卡牌
8、切换回合(同回营)
9、统帅死亡时
10、到上阵队伍
11、召唤特定势力部将
12、击杀敌方部将
13、开局时
14、大圣受到任意伤害时
15、友方阵亡N个部将触发</t>
  </si>
  <si>
    <t>通过技能参数显示技能使用次数使用</t>
  </si>
  <si>
    <t>服务器下发的参数</t>
  </si>
  <si>
    <t xml:space="preserve">Administrator:
在默认填充参数的基础上，额外需要展示的参数
use:当前使用次数
left:剩余次数
magic:法强
shop：根据商店增加次数
cd:技能冷却
</t>
  </si>
  <si>
    <t>当无法获得
服务器提供的参数时
参数展示为默认值</t>
  </si>
  <si>
    <t>备注
策划需要需要展示的参数</t>
  </si>
  <si>
    <t>释放技能时，播放的喊话内容ID
Z_战斗——技能喊话ID</t>
  </si>
  <si>
    <t>布道</t>
  </si>
  <si>
    <t>主动</t>
  </si>
  <si>
    <t>使1个部将与其同阵营的部将+{0}/+{1}(每购买2张花果山/大唐阵营部将额外+1/+1)</t>
  </si>
  <si>
    <t>使1个部将与其同阵营的部将+1/+1</t>
  </si>
  <si>
    <t>使1个部将与其同阵营的部将+1/+1(每购买2张花果山/大唐阵营部将额外+1/+1)</t>
  </si>
  <si>
    <t>masterskill_3001</t>
  </si>
  <si>
    <t>Card/masterskill_3001</t>
  </si>
  <si>
    <t>1#1;2;2#6;1#1</t>
  </si>
  <si>
    <t>攻击#血量;购买数量;势力类型#势力类型;额外加的攻击;额外加的血</t>
  </si>
  <si>
    <t>2参数， 攻击，血量</t>
  </si>
  <si>
    <t>1;1</t>
  </si>
  <si>
    <t>九首</t>
  </si>
  <si>
    <t>使用后,获得商店内全部卡牌(每过1回合,以及每购买1张罗刹部将,技能费用-1)</t>
  </si>
  <si>
    <t>Card/img-jineng2</t>
  </si>
  <si>
    <t>参数势力类型</t>
  </si>
  <si>
    <t>真武</t>
  </si>
  <si>
    <t>被动</t>
  </si>
  <si>
    <t>&lt;color=#d77b28&gt;先手&lt;/color&gt;:使最左侧部将本回合获得&lt;color=#d77b28&gt;狂怒&lt;/color&gt;;+{0}/+{1}(随回合数提升,每回合提高+1/+1)</t>
  </si>
  <si>
    <t>&lt;color=#d77b28&gt;先手&lt;/color&gt;:使最左侧部将本回合获得&lt;color=#d77b28&gt;狂怒&lt;/color&gt;与+3/+3</t>
  </si>
  <si>
    <t>&lt;color=#d77b28&gt;先手&lt;/color&gt;:使最左侧部将本回合获得&lt;color=#d77b28&gt;狂怒&lt;/color&gt;与+3/+3(随回合数提升,每回合提高+1/+1)</t>
  </si>
  <si>
    <t>masterskill_3003</t>
  </si>
  <si>
    <t>1masterskill_3003</t>
  </si>
  <si>
    <t>Card/masterskill_3003</t>
  </si>
  <si>
    <t>10;3#3</t>
  </si>
  <si>
    <t>特性ID;攻击#血量</t>
  </si>
  <si>
    <t>3;3</t>
  </si>
  <si>
    <t>玉净瓶</t>
  </si>
  <si>
    <t>使商店部将+1/+1(剩余{0}次,使用6次后费用+1)</t>
  </si>
  <si>
    <t>使商店部将+1/+1(可用10次,6次后费用+1)</t>
  </si>
  <si>
    <t>masterskill_3004</t>
  </si>
  <si>
    <t>Card/masterskill_3004</t>
  </si>
  <si>
    <t>参数+1/+1</t>
  </si>
  <si>
    <t>1参数， 剩余次数</t>
  </si>
  <si>
    <t>left</t>
  </si>
  <si>
    <t>2参数， 剩余次数</t>
  </si>
  <si>
    <t>诏安</t>
  </si>
  <si>
    <t>挑选1张具有登场效果的部将(使用{0}/8次后,技能费用-1)</t>
  </si>
  <si>
    <t>使用后,挑选1张具有登场效果的部将(使用&lt;color=#d77b28&gt;{0}/8&lt;/color&gt;次后,技能费用-1)</t>
  </si>
  <si>
    <t>Card/img-jineng1</t>
  </si>
  <si>
    <t>use</t>
  </si>
  <si>
    <t>1参数，当前使用次数</t>
  </si>
  <si>
    <t>飞沙</t>
  </si>
  <si>
    <t>&lt;color=#d77b28&gt;业报(3)&lt;/color&gt;:对所有敌方部将造成2点伤害,商店等级5升级;(&lt;color=#d77b28&gt;灵力&lt;/color&gt;:+{0})</t>
  </si>
  <si>
    <t>&lt;color=#d77b28&gt;业报(3)&lt;/color&gt;:对所有敌方部将造成2点伤害</t>
  </si>
  <si>
    <t>&lt;color=#d77b28&gt;业报(3)&lt;/color&gt;:对所有敌方部将造成2点伤害(商店等级5时提升3点伤害)</t>
  </si>
  <si>
    <t>masterskill_3006</t>
  </si>
  <si>
    <t>Card/masterskill_3006</t>
  </si>
  <si>
    <t>0</t>
  </si>
  <si>
    <t>4</t>
  </si>
  <si>
    <t>3;2</t>
  </si>
  <si>
    <t>业报数量;法术伤害</t>
  </si>
  <si>
    <t>1参数，灵力</t>
  </si>
  <si>
    <t>magic</t>
  </si>
  <si>
    <t>&lt;color=#d77b28&gt;业报(3)&lt;/color&gt;:对所有敌方部将造成6点伤害;(&lt;color=#d77b28&gt;灵力&lt;/color&gt;:+{0})</t>
  </si>
  <si>
    <t>&lt;color=#d77b28&gt;业报(3)&lt;/color&gt;:对所有敌方部将造成6点伤害</t>
  </si>
  <si>
    <t>3;6</t>
  </si>
  <si>
    <t>混元伞</t>
  </si>
  <si>
    <t>每次升级商店后,挑选1张当前商店等级的部将(提升商店至2级,3级的费用+1;提升商店至4级,5级,6级的费用+2)</t>
  </si>
  <si>
    <t>Card/img-jineng3</t>
  </si>
  <si>
    <t>2#1;3#1;4#2;5#2;6#2</t>
  </si>
  <si>
    <t>商店等级#增加的升级费用</t>
  </si>
  <si>
    <t>袈裟</t>
  </si>
  <si>
    <t>使用后,获得1张&lt;color=#d77b28&gt;【金币】&lt;/color&gt;,&lt;color=#d77b28&gt;{0}%&lt;/color&gt;概率额外再获得1张(每次提升商店等级,概率提高10%)</t>
  </si>
  <si>
    <t>masterskill_3008</t>
  </si>
  <si>
    <t>Card/masterskill_3008</t>
  </si>
  <si>
    <t>锦囊ID</t>
  </si>
  <si>
    <t>1参数，概率(数值：10到100)</t>
  </si>
  <si>
    <t>六道</t>
  </si>
  <si>
    <t>战斗中召唤部将时,使其获得&lt;color=#d77b28&gt;护法&lt;/color&gt;,+{0}/+{1}(商店等级3/5级时效果提升+1/+1)</t>
  </si>
  <si>
    <t>战斗中召唤部将时,使其获得&lt;color=#d77b28&gt;护法&lt;/color&gt;,+1/+1</t>
  </si>
  <si>
    <t>战斗中召唤部将时,使其获得&lt;color=#d77b28&gt;护法&lt;/color&gt;,+1/+1(商店等级3/5级时效果提升+1/+1)</t>
  </si>
  <si>
    <t>masterskill_3009</t>
  </si>
  <si>
    <t>Card/masterskill_3009</t>
  </si>
  <si>
    <t>2;1#0</t>
  </si>
  <si>
    <t>特性ID;攻击;血量</t>
  </si>
  <si>
    <t>1;0</t>
  </si>
  <si>
    <t>战斗中召唤部将时,使其获得&lt;color=#d77b28&gt;护法&lt;/color&gt;,+2/+2</t>
  </si>
  <si>
    <t>战斗中召唤部将时,使其获得&lt;color=#d77b28&gt;护法&lt;/color&gt;,+2/+2(商店等级3/5级时效果提升+1/+1)</t>
  </si>
  <si>
    <t>2;1#1</t>
  </si>
  <si>
    <t>战斗中召唤部将时,使其获得&lt;color=#d77b28&gt;护法&lt;/color&gt;,+3/+3</t>
  </si>
  <si>
    <t>战斗中召唤部将时,使其获得&lt;color=#d77b28&gt;护法&lt;/color&gt;,+3/+3(商店等级3/5级时效果提升+1/+1)</t>
  </si>
  <si>
    <t>2;2#2</t>
  </si>
  <si>
    <t>2;2</t>
  </si>
  <si>
    <t>月华</t>
  </si>
  <si>
    <t>使用后,挑选上一名对手的1个部将的基础版本(使用&lt;color=#d77b28&gt;{0}/4&lt;/color&gt;次后,技能费用-1)</t>
  </si>
  <si>
    <t>masterskill_3010</t>
  </si>
  <si>
    <t>Card/masterskill_3010</t>
  </si>
  <si>
    <t>镇守</t>
  </si>
  <si>
    <t>使1个部将获得&lt;color=#d77b28&gt;护盾&lt;/color&gt;,并使具有&lt;color=#d77b28&gt;护盾&lt;/color&gt;的部将+2/+2({0}/8次后费用+1)</t>
  </si>
  <si>
    <t>使1个部将获得&lt;color=#d77b28&gt;护盾&lt;/color&gt;,并使具有&lt;color=#d77b28&gt;护盾&lt;/color&gt;的部将+2/+2(8/8次后费用+1)</t>
  </si>
  <si>
    <t>masterskill_3011</t>
  </si>
  <si>
    <t>Card/masterskill_3011</t>
  </si>
  <si>
    <t>5;2#2</t>
  </si>
  <si>
    <t>1参数 次数</t>
  </si>
  <si>
    <t>圣谕</t>
  </si>
  <si>
    <t>使1个部将获得+5/+5,并使其永久变为金卡;剩余({0}/2次)</t>
  </si>
  <si>
    <t>使1个部将获得+5/+5,并使其永久变为金卡;剩余2次</t>
  </si>
  <si>
    <t>masterskill_3012</t>
  </si>
  <si>
    <t>Card/masterskill_3012</t>
  </si>
  <si>
    <t>5;5</t>
  </si>
  <si>
    <t>攻击力，生命值</t>
  </si>
  <si>
    <t>1参数，剩余次数</t>
  </si>
  <si>
    <t>红线</t>
  </si>
  <si>
    <t>使用后,随机获得商店内的1个部将(使用&lt;color=#d77b28&gt;{0}/9&lt;/color&gt;次后,技能升级)</t>
  </si>
  <si>
    <t>类型1纯随机#获得卡牌的属性倍数</t>
  </si>
  <si>
    <t>使用后,获得商店内的1个星级最高的部将,并使其属性翻倍</t>
  </si>
  <si>
    <t>类型2最高星随机#获得卡牌的属性倍数</t>
  </si>
  <si>
    <t>道源</t>
  </si>
  <si>
    <t>挑选1张神通</t>
  </si>
  <si>
    <t>masterskill_3014</t>
  </si>
  <si>
    <t>Card/masterskill_3014</t>
  </si>
  <si>
    <t>挑选1张神通({0}/4次后费用+1)</t>
  </si>
  <si>
    <t>挑选1张&lt;color=#d77b28&gt;神通&lt;/color&gt;(4次后费用+1)</t>
  </si>
  <si>
    <t>倾城</t>
  </si>
  <si>
    <t>获得1张&lt;color=#d77b28&gt;百面千相&lt;/color&gt;(剩余{0}次;商店3级解锁)</t>
  </si>
  <si>
    <t>获得1张&lt;color=#d77b28&gt;百面千相&lt;/color&gt;(剩余4次)</t>
  </si>
  <si>
    <t>masterskill_3015</t>
  </si>
  <si>
    <t>Card/masterskill_3015</t>
  </si>
  <si>
    <t>魅惑</t>
  </si>
  <si>
    <t>本回合获得&lt;color=#d77b28&gt;先手&lt;/color&gt;:召唤对手1个最高星级部将的普通卡进入战场,并获得该部将(若敌方没有部将则获得1张广结仙友1)</t>
  </si>
  <si>
    <t>masterskill_3016</t>
  </si>
  <si>
    <t>Card/masterskill_3016</t>
  </si>
  <si>
    <t>9;1041</t>
  </si>
  <si>
    <t>特性ID;若没有部将则给与的神通ID</t>
  </si>
  <si>
    <t>挑选1个当前商店等级的部将(剩余{0}次)</t>
  </si>
  <si>
    <t>挑选1个当前商店等级的部将(剩余6次)</t>
  </si>
  <si>
    <t>Card/masterskill_3017</t>
  </si>
  <si>
    <t>left;use</t>
  </si>
  <si>
    <t>6;0</t>
  </si>
  <si>
    <t>2参数，剩余次数，当前使用次数</t>
  </si>
  <si>
    <t>鬼令</t>
  </si>
  <si>
    <t>&lt;color=#d77b28&gt;先手&lt;/color&gt;:使场上所有友方部将+{0}攻击(每次升级商店提升+1)</t>
  </si>
  <si>
    <t>&lt;color=#d77b28&gt;先手&lt;/color&gt;:使场上所有友方部将+2攻击</t>
  </si>
  <si>
    <t>&lt;color=#d77b28&gt;先手&lt;/color&gt;:使场上所有友方部将+2攻击(每次升级商店提升+1)</t>
  </si>
  <si>
    <t>masterskill_3018</t>
  </si>
  <si>
    <t>Card/masterskill_3018</t>
  </si>
  <si>
    <t>1参数 商店等级</t>
  </si>
  <si>
    <t>1参数，商店等级</t>
  </si>
  <si>
    <t>齐天</t>
  </si>
  <si>
    <t>使所有友方部将获得&lt;color=#d77b28&gt;斗战&lt;/color&gt;:自身+1攻击力(商店等级到达4级时,技能升级)</t>
  </si>
  <si>
    <t>所有友方部将获得&lt;color=#d77b28&gt;斗战&lt;/color&gt;:自身永久获得&lt;color=#d77b28&gt;+1&lt;/color&gt;攻击力(商店等级到达&lt;color=#d77b28&gt;4级&lt;/color&gt;时,技能升级)</t>
  </si>
  <si>
    <t>masterskill_3019</t>
  </si>
  <si>
    <t>Card/masterskill_3019</t>
  </si>
  <si>
    <t>白猿</t>
  </si>
  <si>
    <t>斗战</t>
  </si>
  <si>
    <t>友方部将获得&lt;color=#d77b28&gt;斗战&lt;/color&gt;:自身+1/+1;&lt;color=#d77b28&gt;斗战&lt;/color&gt;:进行攻击,被攻击后存活时触发</t>
  </si>
  <si>
    <t>友方部将获得&lt;color=#d77b28&gt;斗战&lt;/color&gt;:自身+1/+1</t>
  </si>
  <si>
    <t>紫电</t>
  </si>
  <si>
    <t>&lt;color=#ff2d2d&gt;先手&lt;/color&gt;:对随机1个敌方部将造成1点伤害,次数取决于你上场战斗中部将死亡数量;商店等级3升级;(&lt;color=#d77b28&gt;灵力&lt;/color&gt;:+{0})</t>
  </si>
  <si>
    <t>&lt;color=#ff2d2d&gt;先手&lt;/color&gt;:对随机1个敌方部将造成1点伤害,次数取决于你上场战斗中部将死亡数量</t>
  </si>
  <si>
    <t>&lt;color=#ff2d2d&gt;先手&lt;/color&gt;:对敌方随机1个部将造成1点伤害,次数取决于你上场战斗中部将死亡数量(商店等级3和5时提升1点伤害)</t>
  </si>
  <si>
    <t>masterskill_3020</t>
  </si>
  <si>
    <t>Card/masterskill_3020</t>
  </si>
  <si>
    <t>9;1</t>
  </si>
  <si>
    <t>&lt;color=#ff2d2d&gt;先手&lt;/color&gt;:对随机1个敌方部将造成2点伤害,次数取决于你上场战斗中部将死亡数量;商店等级5升级;(&lt;color=#d77b28&gt;灵力&lt;/color&gt;:+{0})</t>
  </si>
  <si>
    <t>&lt;color=#ff2d2d&gt;先手&lt;/color&gt;:对随机1个敌方部将造成2点伤害,次数取决于你上场战斗中部将死亡数量</t>
  </si>
  <si>
    <t>&lt;color=#ff2d2d&gt;先手&lt;/color&gt;:对敌方随机1个部将造成2点伤害,次数取决于你上场战斗中部将死亡数量;商店等级3和5时提升1点伤害;(灵力:&lt;color=#d77b28&gt;+{0}&lt;/color&gt;)</t>
  </si>
  <si>
    <t>9;2</t>
  </si>
  <si>
    <t>&lt;color=#ff2d2d&gt;先手&lt;/color&gt;:对随机1个敌方部将造成3点伤害,次数取决于你上场战斗中部将死亡数量(&lt;color=#d77b28&gt;灵力&lt;/color&gt;:+{0})</t>
  </si>
  <si>
    <t>&lt;color=#ff2d2d&gt;先手&lt;/color&gt;:对随机1个敌方部将造成3点伤害,次数取决于你上场战斗中部将死亡数量</t>
  </si>
  <si>
    <t>&lt;color=#ff2d2d&gt;先手&lt;/color&gt;:对敌方随机1个部将造成3点伤害,次数取决于你上场战斗中部将死亡数量;商店等级3和5时提升1点伤害;(灵力:&lt;color=#d77b28&gt;+{0}&lt;/color&gt;)</t>
  </si>
  <si>
    <t>9;3</t>
  </si>
  <si>
    <t>蟠桃</t>
  </si>
  <si>
    <t>使1个商店中的部将变形为星级+1的随机部将({0}/6次后可对上阵部将生效,费用+1)</t>
  </si>
  <si>
    <t>使1个商店中的部将变形为星级+1的随机部将(6次后可对上阵部将生效,费用+1)</t>
  </si>
  <si>
    <t>masterskill_3021</t>
  </si>
  <si>
    <t>Card/masterskill_3021</t>
  </si>
  <si>
    <t>使1个商店中或上阵中的部将变形为星级+1的随机部将</t>
  </si>
  <si>
    <t>青云剑</t>
  </si>
  <si>
    <t>每部署1张部将牌至交战区:商店升级费用-1</t>
  </si>
  <si>
    <t>财神</t>
  </si>
  <si>
    <t>使用后,下回合获得&lt;color=#d77b28&gt;{0}&lt;/color&gt;枚【金币】(使用&lt;color=#d77b28&gt;{1}/6&lt;/color&gt;次后,技能效果升级)</t>
  </si>
  <si>
    <t>masterskill_3023</t>
  </si>
  <si>
    <t>Card/masterskill_3023</t>
  </si>
  <si>
    <t>使用后,下回合获得&lt;color=#d77b28&gt;{0}&lt;/color&gt;枚【金币】</t>
  </si>
  <si>
    <t>招财</t>
  </si>
  <si>
    <t>本回合出售部将额外获得1枚金币(已获得{0}/{1}枚金币;升级1次商店每回合可额外使用1次,最高5次)</t>
  </si>
  <si>
    <t>本回合出售部将额外获得1枚金币(初始1次,随商店等级提升,最高5次)</t>
  </si>
  <si>
    <t>本回合出售部将额外获得1枚金币(初始1次,升级商店最高提升到5次)</t>
  </si>
  <si>
    <t>1;5</t>
  </si>
  <si>
    <t>金币;次数上限</t>
  </si>
  <si>
    <t>2参数  已获得，最多获得</t>
  </si>
  <si>
    <t>0;1</t>
  </si>
  <si>
    <t>人参果</t>
  </si>
  <si>
    <t>使1个部将+1/+1,并触发其&lt;color=#d77b28&gt;后援&lt;/color&gt;</t>
  </si>
  <si>
    <t>masterskill_3025</t>
  </si>
  <si>
    <t>Card/masterskill_3025</t>
  </si>
  <si>
    <t>1#1;3</t>
  </si>
  <si>
    <t>攻击#生命;特性ID</t>
  </si>
  <si>
    <t>使1个部将+1/+1,并触发其&lt;color=#d77b28&gt;后援&lt;/color&gt;({0}/5次后费用+1)</t>
  </si>
  <si>
    <t>使1个部将+1/+1,并触发其&lt;color=#d77b28&gt;后援&lt;/color&gt;(5次后费用+1)</t>
  </si>
  <si>
    <t>1参数，次数</t>
  </si>
  <si>
    <t>红葫芦</t>
  </si>
  <si>
    <t>移除1个场上/商店的部将,并使1个随机部将获得其属性值</t>
  </si>
  <si>
    <t>移除目标部将,使随机部将获得其属性</t>
  </si>
  <si>
    <t>Card/masterskill_3026</t>
  </si>
  <si>
    <t>使1个商店中或上阵中的部将,并使随机1个友方将其吞噬获得其属性</t>
  </si>
  <si>
    <t>选择一个商店中或上阵中的部将,使随机一个友方将其吞噬获得其属性</t>
  </si>
  <si>
    <t>武库</t>
  </si>
  <si>
    <t>使用后,挑选1张当前商店等级的装备牌(商店&lt;color=#d77b28&gt;2级&lt;/color&gt;解锁)</t>
  </si>
  <si>
    <t>Card/img-jineng4</t>
  </si>
  <si>
    <t>救兵</t>
  </si>
  <si>
    <t>挑选1张当前商店等级的部将,每购买1张神通费用-1(初始费用3)</t>
  </si>
  <si>
    <t>挑选1张当前商店等级的部将,每购买1张神通费用-1</t>
  </si>
  <si>
    <t>masterskill_3028</t>
  </si>
  <si>
    <t>Card/masterskill_3028</t>
  </si>
  <si>
    <t>挑选1张不高于当前商店等级的部将(使用{0}/8次后费用+1)</t>
  </si>
  <si>
    <t>使用后,挑选1张不高于当前商店等级的部将(使用&lt;color=#d77b28&gt;{0}&lt;/color&gt;/8次后费用+1)</t>
  </si>
  <si>
    <t>眷恋</t>
  </si>
  <si>
    <t>每次购买中立阵营卡牌,获得1枚金币;首次触发此效果时,使此次商店刷新费用为0</t>
  </si>
  <si>
    <t>2;1</t>
  </si>
  <si>
    <t>御军</t>
  </si>
  <si>
    <t>&lt;color=#d77b28&gt;先手&lt;/color&gt;:使最左侧部将+{0}攻击,最右侧部将+{1}生命(商店每升1级,分别+2)</t>
  </si>
  <si>
    <t>&lt;color=#d77b28&gt;先手&lt;/color&gt;:使最左侧部将+2攻击,最右侧部将+2生命(商店每升1级,分别+2)</t>
  </si>
  <si>
    <t>masterskill_3030</t>
  </si>
  <si>
    <t>1masterskill_3030</t>
  </si>
  <si>
    <t>Card/masterskill_3030</t>
  </si>
  <si>
    <t>2#0;0#2;2#2#0#0#2;3#4#0#0#4;4#6#0#0#6;5#8#0#0#8;6#10#0#0#10</t>
  </si>
  <si>
    <t>武勇</t>
  </si>
  <si>
    <t>使一个部将+{0}/+{1}(每购买2张部将+1/+1)</t>
  </si>
  <si>
    <t>使一个部将+1/+1</t>
  </si>
  <si>
    <t>使一个部将+1/+1(每购买2张部将+1/+1)</t>
  </si>
  <si>
    <t>masterskill_3031</t>
  </si>
  <si>
    <t>Card/masterskill_3031</t>
  </si>
  <si>
    <t>1#1;2;1#1</t>
  </si>
  <si>
    <t>攻击#血量;购买数量;额外加的攻击#额外加的血</t>
  </si>
  <si>
    <t>瑶池</t>
  </si>
  <si>
    <t>所有友方部将永久&lt;color=#d77b28&gt;+1&lt;/color&gt;生命值和【协战:使自身获得&lt;color=#d77b28&gt;+1&lt;/color&gt;生命值】(商店等级到达&lt;color=#d77b28&gt;5级&lt;/color&gt;时,技能升级)</t>
  </si>
  <si>
    <t>1#30011</t>
  </si>
  <si>
    <t>所有友方部将永久&lt;color=#d77b28&gt;+2&lt;/color&gt;生命值和【协战:使自身获得&lt;color=#d77b28&gt;+2&lt;/color&gt;生命值】</t>
  </si>
  <si>
    <t>1#30012</t>
  </si>
  <si>
    <t>轮回</t>
  </si>
  <si>
    <t>使1个非金色部将回到手牌({0}/5次后费用+1)</t>
  </si>
  <si>
    <t>使1个非金色部将回到手牌(5次后费用+1)</t>
  </si>
  <si>
    <t>masterskill_3033</t>
  </si>
  <si>
    <t>Card/masterskill_3033</t>
  </si>
  <si>
    <t>每回合的前{0}次刷新费用为0(商店3级时增加1次)</t>
  </si>
  <si>
    <t>每回合的前1次刷新费用为0(商店3级时增加1次)</t>
  </si>
  <si>
    <t>masterskill_3034</t>
  </si>
  <si>
    <t>Card/masterskill_3034</t>
  </si>
  <si>
    <t>1;3</t>
  </si>
  <si>
    <t>乐天</t>
  </si>
  <si>
    <t>使1个友方部将本回合获得&lt;color=#d77b28&gt;隐匿&lt;/color&gt;和永久+{0}生命(随商店等级提升)</t>
  </si>
  <si>
    <t>选择一个友方部将,使其本回合获得&lt;color=#d77b28&gt;隐匿&lt;/color&gt;和永久&lt;color=#d77b28&gt;+{0}&lt;/color&gt;生命值(随商店等级提升)</t>
  </si>
  <si>
    <t>Card/img-jineng6</t>
  </si>
  <si>
    <t>16;2</t>
  </si>
  <si>
    <t>1参数 生命</t>
  </si>
  <si>
    <t>还阳</t>
  </si>
  <si>
    <t>使1个部将本回合获得&lt;color=#d77b28&gt;转生&lt;/color&gt;;所有通过&lt;color=#d77b28&gt;转生&lt;/color&gt;召唤的部将+{0}/+{1}({2}/5次后费用+1)</t>
  </si>
  <si>
    <t>使1个部将本回合获得&lt;color=#d77b28&gt;转生&lt;/color&gt;;所有通过&lt;color=#d77b28&gt;转生&lt;/color&gt;召唤的部将+1/+1(5次后费用+1)</t>
  </si>
  <si>
    <t>masterskill_3036</t>
  </si>
  <si>
    <t>Card/masterskill_3036</t>
  </si>
  <si>
    <t>21;1#1</t>
  </si>
  <si>
    <t>1;1;0</t>
  </si>
  <si>
    <t>3参数， 攻击，血量，次数</t>
  </si>
  <si>
    <t>使1个部将本回合获得&lt;color=#d77b28&gt;转生&lt;/color&gt;;所有通过&lt;color=#d77b28&gt;转生&lt;/color&gt;召唤的部将+{0}/+{1}(使用{2}/5次后费用+1)</t>
  </si>
  <si>
    <t>红颜</t>
  </si>
  <si>
    <t>选择一个友方部将,使其本回合变为&lt;color=#d77b28&gt;任意&lt;/color&gt;阵营和永久获得&lt;color=#d77b28&gt;+{0}/+{1}&lt;/color&gt;(随商店等级提升)</t>
  </si>
  <si>
    <t>0;1#1</t>
  </si>
  <si>
    <t>再生</t>
  </si>
  <si>
    <t>大圣死亡时,复活并拥有1点生命;并获得3张专属神通牌:&lt;color=#d77b28&gt;碧藕为骨&lt;/color&gt;:使用后恢复大圣10点生命,&lt;color=#d77b28&gt;荷叶为衣&lt;/color&gt;:使用后立即获得6金币,&lt;color=#d77b28&gt;金丹化神&lt;/color&gt;:使所有友方部将+8/+8</t>
  </si>
  <si>
    <t>大圣死亡时,复活并拥有1点生命;并获得3张专属神通牌:&lt;color=#d77b28&gt;碧藕为骨&lt;/color&gt;、&lt;color=#d77b28&gt;荷叶为衣&lt;/color&gt;、&lt;color=#d77b28&gt;金丹化神&lt;/color&gt;</t>
  </si>
  <si>
    <t>masterskill_3038</t>
  </si>
  <si>
    <t>Card/masterskill_3038</t>
  </si>
  <si>
    <t>1;8011;8012;8013</t>
  </si>
  <si>
    <t>1参数  是否触发：0触发 1已触发</t>
  </si>
  <si>
    <t>1参数  是否触发：0否1是</t>
  </si>
  <si>
    <t>定风</t>
  </si>
  <si>
    <t>购买部将累计3星(已积累&lt;color=#d77b28&gt;{0}/3&lt;/color&gt;)时,获得【举贤任能.1】,并技能升级</t>
  </si>
  <si>
    <t>3;4083</t>
  </si>
  <si>
    <t>1参数 星数</t>
  </si>
  <si>
    <t>购买部将累计3星(已积累&lt;color=#d77b28&gt;{0}/3&lt;/color&gt;)时,获得【举贤任能.2】,并技能升级</t>
  </si>
  <si>
    <t>3;4084</t>
  </si>
  <si>
    <t>购买部将累计3星(已积累&lt;color=#d77b28&gt;{0}/3&lt;/color&gt;)时,获得【举贤任能.3】,并技能升级</t>
  </si>
  <si>
    <t>3;4085</t>
  </si>
  <si>
    <t>购买部将累计3星(已积累&lt;color=#d77b28&gt;{0}/3&lt;/color&gt;)时,获得【举贤任能.4】,并技能升级</t>
  </si>
  <si>
    <t>3;4086</t>
  </si>
  <si>
    <t>购买部将累计3星(已积累&lt;color=#d77b28&gt;{0}/3&lt;/color&gt;)时,获得【举贤任能.5】,并技能升级</t>
  </si>
  <si>
    <t>3;4087</t>
  </si>
  <si>
    <t>购买部将累计3星(已积累&lt;color=#d77b28&gt;{0}/3&lt;/color&gt;)时,获得【举贤任能.6】,并技能升级</t>
  </si>
  <si>
    <t>3;4088</t>
  </si>
  <si>
    <t>30401</t>
  </si>
  <si>
    <t>53</t>
  </si>
  <si>
    <t>龙威</t>
  </si>
  <si>
    <t>回合开始时:召唤2只神龙,1回合</t>
  </si>
  <si>
    <t>masterskill_3040</t>
  </si>
  <si>
    <t>Card/masterskill_3040</t>
  </si>
  <si>
    <t>30402</t>
  </si>
  <si>
    <t>40</t>
  </si>
  <si>
    <t>每当召唤一个龙宫部将,使其获得+2/+2,商店等级6时技能提升(商店等级6级时,+4/+4)</t>
  </si>
  <si>
    <t>4;30402</t>
  </si>
  <si>
    <t>阵营ID；K_部将卡牌总表-技能表ID</t>
  </si>
  <si>
    <t>30403</t>
  </si>
  <si>
    <t>每当召唤一个龙宫部将,使其获得+4/+4</t>
  </si>
  <si>
    <t>4;30403</t>
  </si>
  <si>
    <t>30411</t>
  </si>
  <si>
    <t>41</t>
  </si>
  <si>
    <t>购买{0}个带有&lt;color=#d77b28&gt;登场&lt;/color&gt;的部将后,获得1张&lt;color=#d77b28&gt;福星&lt;/color&gt;,或购买{1}个带有&lt;color=#d77b28&gt;后援&lt;/color&gt;的部将后,获得1张&lt;color=#d77b28&gt;禄星&lt;/color&gt;;剩余{2}次</t>
  </si>
  <si>
    <t>购买6个带有&lt;color=#d77b28&gt;登场&lt;/color&gt;的部将后,获得1张&lt;color=#d77b28&gt;福星&lt;/color&gt;,或购买6个带有&lt;color=#d77b28&gt;后援&lt;/color&gt;的部将后,获得1张&lt;color=#d77b28&gt;禄星&lt;/color&gt;;剩余1次</t>
  </si>
  <si>
    <t>masterskill_3041</t>
  </si>
  <si>
    <t>Card/masterskill_3041</t>
  </si>
  <si>
    <t>6#1#1055;6#3#1057</t>
  </si>
  <si>
    <t>需要购买的部将数量;指定特性ID;获得的部将卡ID</t>
  </si>
  <si>
    <t>3参数，次数，次数，剩余次数</t>
  </si>
  <si>
    <t>6;6;1</t>
  </si>
  <si>
    <t>3参数，剩余次数，剩余次数，限制次数</t>
  </si>
  <si>
    <t>30421</t>
  </si>
  <si>
    <t>42</t>
  </si>
  <si>
    <t>武运</t>
  </si>
  <si>
    <t>每击杀4名敌方部将,获得1金币</t>
  </si>
  <si>
    <t>masterskill_3042</t>
  </si>
  <si>
    <t>Card/masterskill_3024</t>
  </si>
  <si>
    <t>Card/masterskill_3042</t>
  </si>
  <si>
    <t>4;1</t>
  </si>
  <si>
    <t>击杀数量;获得金币</t>
  </si>
  <si>
    <t>30431</t>
  </si>
  <si>
    <t>43</t>
  </si>
  <si>
    <t>团伙</t>
  </si>
  <si>
    <t>开场时,获得广谋和广智卡牌</t>
  </si>
  <si>
    <t>masterskill_3043</t>
  </si>
  <si>
    <t>Card/masterskill_3043</t>
  </si>
  <si>
    <t>1158;1159</t>
  </si>
  <si>
    <t>获得特定ID部将卡</t>
  </si>
  <si>
    <t>30441</t>
  </si>
  <si>
    <t>44</t>
  </si>
  <si>
    <t>地元</t>
  </si>
  <si>
    <t>每回合恢复大圣2点生命</t>
  </si>
  <si>
    <t>masterskill_3044</t>
  </si>
  <si>
    <t>Card/masterskill_3044</t>
  </si>
  <si>
    <t>恢复的生命值</t>
  </si>
  <si>
    <t>30451</t>
  </si>
  <si>
    <t>45</t>
  </si>
  <si>
    <t>盛世</t>
  </si>
  <si>
    <t>&lt;color=#d77b28&gt;回合更始&lt;/color&gt;:友方不同阵营中随机1个部将+{0}/+{1}(每刷新4次商店提高+1/+1)</t>
  </si>
  <si>
    <t>&lt;color=#d77b28&gt;回合更始&lt;/color&gt;:友方不同阵营中随机1个部将+1/+1</t>
  </si>
  <si>
    <t>Card/masterskill_3045</t>
  </si>
  <si>
    <t xml:space="preserve">1#1;4;1#1 </t>
  </si>
  <si>
    <t>攻击#血量;刷新商店次数;额外加的攻击#额外加的血</t>
  </si>
  <si>
    <t>46</t>
  </si>
  <si>
    <t>天火</t>
  </si>
  <si>
    <t>大圣受到伤害时,所有友方部将+{0}/+{1}(商店等级1-4提供+1/+0,商店等级5-6提供+1/+1)</t>
  </si>
  <si>
    <t>大圣受到伤害时,所有友方部将+1/+0(随商店等级提升)</t>
  </si>
  <si>
    <t>大圣受到伤害时,所有友方部将+1/+0(商店等级1-4提供+1/+0,商店等级5-6提供+1/+1)</t>
  </si>
  <si>
    <t>Card/masterskill_3046</t>
  </si>
  <si>
    <t>1#1#0;2#1#0;3#1#0;4#1#0;5#1#1;6#1#1</t>
  </si>
  <si>
    <t>商店等级#攻击力#生命值;商店等级#攻击力#生命值</t>
  </si>
  <si>
    <t>47</t>
  </si>
  <si>
    <t>来来来</t>
  </si>
  <si>
    <t>升级商店后,挑选{0}张当前商店等级的部将</t>
  </si>
  <si>
    <t>升级商店后,挑选1张当前商店等级的部将</t>
  </si>
  <si>
    <t>Card/masterskill_3047</t>
  </si>
  <si>
    <t>挑选部将数量</t>
  </si>
  <si>
    <t>48</t>
  </si>
  <si>
    <t>神驹</t>
  </si>
  <si>
    <t>重新挑选1个坐骑,第3回合解锁</t>
  </si>
  <si>
    <t>Card/masterskill_3048</t>
  </si>
  <si>
    <t>1</t>
  </si>
  <si>
    <t>重新挑选一个坐骑，3回合后解锁</t>
  </si>
  <si>
    <t>49</t>
  </si>
  <si>
    <t>暴君</t>
  </si>
  <si>
    <t>获得当前商店中的所有牌;剩余({0}/3次)</t>
  </si>
  <si>
    <t>获得当前商店中的所有牌;剩余3次</t>
  </si>
  <si>
    <t>Card/masterskill_3049</t>
  </si>
  <si>
    <t>获得当前商店中的所有牌</t>
  </si>
  <si>
    <t>50</t>
  </si>
  <si>
    <t>万灵</t>
  </si>
  <si>
    <t>使1个部将+{0}/+{1}以及+{2}&lt;color=#d77b28&gt;灵力&lt;/color&gt;(商店等级3和5时所有加成提升1点)</t>
  </si>
  <si>
    <t>使1个部将+1/+1以及+2&lt;color=#d77b28&gt;灵力</t>
  </si>
  <si>
    <t>使1个部将+1/+1以及+2&lt;color=#d77b28&gt;灵力&lt;/color&gt;(商店等级3和5时所有加成提升1点)</t>
  </si>
  <si>
    <t>Card/masterskill_3050</t>
  </si>
  <si>
    <t>1#1#1#2;2#1#1#2;3#2#2#3;4#2#2#3;5#3#3#4;6#3#3#4</t>
  </si>
  <si>
    <t>商店等级#攻击力#生命值#灵力;商店等级#攻击力#生命值#灵力</t>
  </si>
  <si>
    <t>1;1;2</t>
  </si>
  <si>
    <t>30511</t>
  </si>
  <si>
    <t>51</t>
  </si>
  <si>
    <t>神隐</t>
  </si>
  <si>
    <t>使1个部将+5/+5和&lt;color=#d77b28&gt;隐匿&lt;/color&gt;(1回合)</t>
  </si>
  <si>
    <t>Card/masterskill_3051</t>
  </si>
  <si>
    <t>5;5;16</t>
  </si>
  <si>
    <t>攻击#生命值#获得的特性（特性持续一回合）</t>
  </si>
  <si>
    <t>52</t>
  </si>
  <si>
    <t>化缘</t>
  </si>
  <si>
    <t>回合结束时,若你的金币不足2,则补齐至2金币</t>
  </si>
  <si>
    <t>Card/masterskill_3052</t>
  </si>
  <si>
    <t>补齐至x金币</t>
  </si>
  <si>
    <t>大圣</t>
  </si>
  <si>
    <t>&lt;color=#d77b28&gt;先手&lt;/color&gt;:使你最左侧的部将获得+5/+5和&lt;color=#d77b28&gt;横扫&lt;/color&gt;(1回合）</t>
  </si>
  <si>
    <t>Card/masterskill_3053</t>
  </si>
  <si>
    <t>54</t>
  </si>
  <si>
    <t>厚皮</t>
  </si>
  <si>
    <t>你的大圣的默认生命为70点</t>
  </si>
  <si>
    <t>Card/masterskill_3054</t>
  </si>
  <si>
    <t>55</t>
  </si>
  <si>
    <t>行李</t>
  </si>
  <si>
    <t>获得当前回合的金币数(整局使用1次)</t>
  </si>
  <si>
    <t>Card/masterskill_3055</t>
  </si>
  <si>
    <t>56</t>
  </si>
  <si>
    <t>小白龙</t>
  </si>
  <si>
    <t>龙法</t>
  </si>
  <si>
    <t>每当你使用1张神通牌,使所有友方部将+1/+1,每使用9次后额外+1/+1</t>
  </si>
  <si>
    <t>Card/masterskill_3056</t>
  </si>
  <si>
    <t>1;1;9;1;1</t>
  </si>
  <si>
    <t>每次+1/+1,每多使用9次，则再+1/+1</t>
  </si>
  <si>
    <t>30571</t>
  </si>
  <si>
    <t>57</t>
  </si>
  <si>
    <t>封神</t>
  </si>
  <si>
    <t>使1位部将变为金色和任意阵营(1回合)</t>
  </si>
  <si>
    <t>Card/masterskill_3057</t>
  </si>
  <si>
    <t>改变的阵营</t>
  </si>
  <si>
    <t>30581</t>
  </si>
  <si>
    <t>58</t>
  </si>
  <si>
    <t>火神</t>
  </si>
  <si>
    <t>决策1:&lt;color=#d77b28&gt;先手&lt;/color&gt;:对敌人最左侧部将造成{0}点法术伤害;决策2:&lt;color=#d77b28&gt;先手&lt;/color&gt;:对最右侧部将造成{0}点法术伤害,每花费4枚金币伤害提高1点;(&lt;color=#d77b28&gt;灵力&lt;/color&gt;:+{1})</t>
  </si>
  <si>
    <t>决策:&lt;color=#d77b28&gt;先手&lt;/color&gt;:对最左侧或最右侧造成伤害,每花费4枚金币伤害+1</t>
  </si>
  <si>
    <t>Card/masterskill_3058</t>
  </si>
  <si>
    <t>30581;30582</t>
  </si>
  <si>
    <t>6;4;1</t>
  </si>
  <si>
    <t>基础伤害;金币;成长伤害</t>
  </si>
  <si>
    <t>2参数,攻击;灵力</t>
  </si>
  <si>
    <t>left;magic</t>
  </si>
  <si>
    <t>30582</t>
  </si>
  <si>
    <t>65</t>
  </si>
  <si>
    <t>凝霜</t>
  </si>
  <si>
    <t>&lt;color=#d77b28&gt;冰冻&lt;/color&gt;敌方最左侧2个部将,1回合</t>
  </si>
  <si>
    <t>30591</t>
  </si>
  <si>
    <t>59</t>
  </si>
  <si>
    <t>遁地</t>
  </si>
  <si>
    <t>每2个回合,获得1张你手牌中最左侧的部将卡（商店等级3解锁）</t>
  </si>
  <si>
    <t>Card/masterskill_3059</t>
  </si>
  <si>
    <t>生效间隔回合</t>
  </si>
  <si>
    <t>30601</t>
  </si>
  <si>
    <t>60</t>
  </si>
  <si>
    <t>人种袋</t>
  </si>
  <si>
    <t>刷新商店并且其中的部将必定为当前商店等级</t>
  </si>
  <si>
    <t>Card/masterskill_3060</t>
  </si>
  <si>
    <t>61</t>
  </si>
  <si>
    <t>云游</t>
  </si>
  <si>
    <t>随机获得1张&lt;color=#d77b28&gt;广结仙友&lt;/color&gt;,但只能在达到该部将星级时使用它</t>
  </si>
  <si>
    <t>Card/masterskill_3061</t>
  </si>
  <si>
    <t>1041;1042;1043;1044;1045;1046</t>
  </si>
  <si>
    <t>锦囊ID;锦囊ID;锦囊ID;锦囊ID;锦囊ID;锦囊ID</t>
  </si>
  <si>
    <t>62</t>
  </si>
  <si>
    <t>本相</t>
  </si>
  <si>
    <t>获得1个阵营为任意的部将:&lt;color=#d77b28&gt;青龙&lt;/color&gt;"&lt;color=#d77b28&gt;鼓舞&lt;/color&gt;:对目标及其两侧的部将造成攻击力一半的伤害,金色为全部"</t>
  </si>
  <si>
    <t>获得1个阵营为任意的部将:&lt;color=#d77b28&gt;青龙&lt;/color&gt;</t>
  </si>
  <si>
    <t>Card/masterskill_3062</t>
  </si>
  <si>
    <t>63</t>
  </si>
  <si>
    <t>凶煞</t>
  </si>
  <si>
    <t>&lt;color=#d77b28&gt;先手&lt;/color&gt;:对下回合敌方大圣造成8点伤害(使用{0}/3次）</t>
  </si>
  <si>
    <t>&lt;color=#d77b28&gt;先手&lt;/color&gt;:对下回合敌方大圣造成8点伤害,最多使用3次</t>
  </si>
  <si>
    <t>Card/masterskill_3063</t>
  </si>
  <si>
    <t>伤害值</t>
  </si>
  <si>
    <t>1参数,剩余次数</t>
  </si>
  <si>
    <t>64</t>
  </si>
  <si>
    <t>祛毒</t>
  </si>
  <si>
    <t>&lt;color=#d77b28&gt;后援&lt;/color&gt;:使场上随机1个部将获得+2/+2,每升级1次商店次数+1</t>
  </si>
  <si>
    <t>Card/masterskill_3064</t>
  </si>
  <si>
    <t>1;2;2;1</t>
  </si>
  <si>
    <t>N个部将;攻击;生命;每次升级次数+N</t>
  </si>
  <si>
    <t>30651</t>
  </si>
  <si>
    <t>开场时,获得&lt;color=#d77b28&gt;纵火妖&lt;/color&gt;</t>
  </si>
  <si>
    <t>Card/masterskill_3065</t>
  </si>
  <si>
    <t>真假难辨</t>
  </si>
  <si>
    <t>战斗开始时,在最左侧复制1个敌方攻击力最高的部将(包含属性词条)1回合</t>
  </si>
  <si>
    <t>Card/masterskill_3066</t>
  </si>
  <si>
    <t>包子</t>
  </si>
  <si>
    <t>你回复4点生命,其他仍然存活的大圣回复2点生命</t>
  </si>
  <si>
    <t>Card/masterskill_3067</t>
  </si>
  <si>
    <t>30671;30672</t>
  </si>
  <si>
    <t>筋肉</t>
  </si>
  <si>
    <t>使你属性值最高的部将属性翻倍剩余({0}/2次)</t>
  </si>
  <si>
    <t>使你属性值最高的部将属性翻倍剩余(2/2次)</t>
  </si>
  <si>
    <t>Card/masterskill_3068</t>
  </si>
  <si>
    <t>控制</t>
  </si>
  <si>
    <t>战斗开始时:使敌方4名部将的攻击力减半</t>
  </si>
  <si>
    <t>Card/masterskill_3069</t>
  </si>
  <si>
    <t>66</t>
  </si>
  <si>
    <t>猛毒</t>
  </si>
  <si>
    <t>每当2个友方部将死亡,召唤1个&lt;color=#d77b28&gt;毒蜘蛛&lt;/color&gt;,每回合最多2次</t>
  </si>
  <si>
    <t>Card/masterskill_3070</t>
  </si>
  <si>
    <t>2;2;1193</t>
  </si>
  <si>
    <t>阵亡数量;最大次数;召唤的卡牌ID</t>
  </si>
  <si>
    <t>嗜血</t>
  </si>
  <si>
    <t>战斗开始时:对敌方大圣造成1点伤害,己方大圣回复1点生命</t>
  </si>
  <si>
    <t>Card/masterskill_3071</t>
  </si>
  <si>
    <t>30711;30712</t>
  </si>
  <si>
    <t>技能ID;技能ID</t>
  </si>
  <si>
    <t>30721</t>
  </si>
  <si>
    <t>吞食天地</t>
  </si>
  <si>
    <t>&lt;color=#d77b28&gt;后援&lt;/color&gt;:你最左和最右侧部将吞噬商店中1个部将</t>
  </si>
  <si>
    <t>Card/masterskill_3072</t>
  </si>
  <si>
    <t>74</t>
  </si>
  <si>
    <t>威势</t>
  </si>
  <si>
    <t>决策:使敌方特性失效、召唤&lt;color=#d77b28&gt;神犬&lt;/color&gt;、本回合&lt;color=#d77b28&gt;登场&lt;/color&gt;效果额外触发1次</t>
  </si>
  <si>
    <t>Card/masterskill_3073</t>
  </si>
  <si>
    <t>30731;30732;30733</t>
  </si>
  <si>
    <t>73</t>
  </si>
  <si>
    <t>苦修</t>
  </si>
  <si>
    <t>随机获得1~6枚金币,并根据获得金币数量进入对应冷却回合{0}</t>
  </si>
  <si>
    <t>随机获得1~6枚金币,并根据获得金币数量进入对应冷却回合</t>
  </si>
  <si>
    <t>Card/masterskill_3074</t>
  </si>
  <si>
    <t>1;6</t>
  </si>
  <si>
    <t>金币最小值;金币最大值</t>
  </si>
  <si>
    <t>cd</t>
  </si>
  <si>
    <t>70</t>
  </si>
  <si>
    <t>真火</t>
  </si>
  <si>
    <t>先手效果额外触发1次,6级时额外触发2次</t>
  </si>
  <si>
    <t>Card/masterskill_3075</t>
  </si>
  <si>
    <t>1;6;2</t>
  </si>
  <si>
    <t>先手额外触发N次;商店等级;先手额外触发N次</t>
  </si>
  <si>
    <t>等级图标</t>
  </si>
  <si>
    <t>等级</t>
  </si>
  <si>
    <t>需要经验</t>
  </si>
  <si>
    <t>LvIcon</t>
  </si>
  <si>
    <t>Level</t>
  </si>
  <si>
    <t>NeedExp</t>
  </si>
  <si>
    <t>熟练度等级</t>
  </si>
  <si>
    <t>熟练度等级对应的图标</t>
  </si>
  <si>
    <t>实际使用的等级</t>
  </si>
  <si>
    <t>升到下一级经验</t>
  </si>
  <si>
    <t>奖励组</t>
  </si>
  <si>
    <t>获得等级</t>
  </si>
  <si>
    <t>奖励</t>
  </si>
  <si>
    <t>GiftGroup</t>
  </si>
  <si>
    <t>GetLevel</t>
  </si>
  <si>
    <t>Gift</t>
  </si>
  <si>
    <t>等级ID</t>
  </si>
  <si>
    <t>大圣通过该组确定使用哪个奖励数据</t>
  </si>
  <si>
    <t>奖励在第N级可以获得</t>
  </si>
  <si>
    <t>填写到这级给的奖励道具ID#数量;</t>
  </si>
  <si>
    <t>300101</t>
  </si>
  <si>
    <t>8#5</t>
  </si>
  <si>
    <t>300102</t>
  </si>
  <si>
    <t>8#10</t>
  </si>
  <si>
    <t>300103</t>
  </si>
  <si>
    <t>300104</t>
  </si>
  <si>
    <t>300105</t>
  </si>
  <si>
    <t>300106</t>
  </si>
  <si>
    <t>300107</t>
  </si>
  <si>
    <t>300108</t>
  </si>
  <si>
    <t>300109</t>
  </si>
  <si>
    <t>300110</t>
  </si>
  <si>
    <t>300301</t>
  </si>
  <si>
    <t>哪吒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</si>
  <si>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</si>
  <si>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</si>
  <si>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</si>
  <si>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</si>
  <si>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</si>
  <si>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</si>
  <si>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</si>
  <si>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</si>
  <si>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</si>
  <si>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</si>
  <si>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</si>
  <si>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</si>
  <si>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</si>
  <si>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</si>
  <si>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</si>
  <si>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</si>
  <si>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</si>
  <si>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</si>
  <si>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</si>
  <si>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</si>
  <si>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</si>
  <si>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</si>
  <si>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</si>
  <si>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</si>
  <si>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</si>
  <si>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</si>
  <si>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</si>
  <si>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</si>
  <si>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</si>
  <si>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</si>
  <si>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</si>
  <si>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</si>
  <si>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</si>
  <si>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</si>
  <si>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</si>
  <si>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</si>
  <si>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</si>
  <si>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</si>
  <si>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</si>
  <si>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</si>
  <si>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</si>
  <si>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</si>
  <si>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</si>
  <si>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</si>
  <si>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</si>
  <si>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</si>
  <si>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</si>
  <si>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</si>
  <si>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</si>
  <si>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301101</t>
  </si>
  <si>
    <t>301102</t>
  </si>
  <si>
    <t>301103</t>
  </si>
  <si>
    <t>301104</t>
  </si>
  <si>
    <t>301105</t>
  </si>
  <si>
    <t>301106</t>
  </si>
  <si>
    <t>301107</t>
  </si>
  <si>
    <t>301108</t>
  </si>
  <si>
    <t>301109</t>
  </si>
  <si>
    <t>301110</t>
  </si>
  <si>
    <t>301201</t>
  </si>
  <si>
    <t>301202</t>
  </si>
  <si>
    <t>301203</t>
  </si>
  <si>
    <t>301204</t>
  </si>
  <si>
    <t>301205</t>
  </si>
  <si>
    <t>301206</t>
  </si>
  <si>
    <t>301207</t>
  </si>
  <si>
    <t>301208</t>
  </si>
  <si>
    <t>301209</t>
  </si>
  <si>
    <t>301210</t>
  </si>
  <si>
    <t>301401</t>
  </si>
  <si>
    <t>301402</t>
  </si>
  <si>
    <t>301403</t>
  </si>
  <si>
    <t>301404</t>
  </si>
  <si>
    <t>301405</t>
  </si>
  <si>
    <t>301406</t>
  </si>
  <si>
    <t>301407</t>
  </si>
  <si>
    <t>301408</t>
  </si>
  <si>
    <t>301409</t>
  </si>
  <si>
    <t>301410</t>
  </si>
  <si>
    <t>301501</t>
  </si>
  <si>
    <t>301502</t>
  </si>
  <si>
    <t>301503</t>
  </si>
  <si>
    <t>301504</t>
  </si>
  <si>
    <t>301505</t>
  </si>
  <si>
    <t>301506</t>
  </si>
  <si>
    <t>301507</t>
  </si>
  <si>
    <t>301508</t>
  </si>
  <si>
    <t>301509</t>
  </si>
  <si>
    <t>301510</t>
  </si>
  <si>
    <t>301601</t>
  </si>
  <si>
    <t>301602</t>
  </si>
  <si>
    <t>301603</t>
  </si>
  <si>
    <t>301604</t>
  </si>
  <si>
    <t>301605</t>
  </si>
  <si>
    <t>301606</t>
  </si>
  <si>
    <t>301607</t>
  </si>
  <si>
    <t>301608</t>
  </si>
  <si>
    <t>301609</t>
  </si>
  <si>
    <t>301610</t>
  </si>
  <si>
    <t>301701</t>
  </si>
  <si>
    <t>301702</t>
  </si>
  <si>
    <t>301703</t>
  </si>
  <si>
    <t>301704</t>
  </si>
  <si>
    <t>301705</t>
  </si>
  <si>
    <t>301706</t>
  </si>
  <si>
    <t>301707</t>
  </si>
  <si>
    <t>301708</t>
  </si>
  <si>
    <t>301709</t>
  </si>
  <si>
    <t>301710</t>
  </si>
  <si>
    <t>301801</t>
  </si>
  <si>
    <t>301802</t>
  </si>
  <si>
    <t>301803</t>
  </si>
  <si>
    <t>301804</t>
  </si>
  <si>
    <t>301805</t>
  </si>
  <si>
    <t>301806</t>
  </si>
  <si>
    <t>301807</t>
  </si>
  <si>
    <t>301808</t>
  </si>
  <si>
    <t>301809</t>
  </si>
  <si>
    <t>301810</t>
  </si>
  <si>
    <t>301901</t>
  </si>
  <si>
    <t>301902</t>
  </si>
  <si>
    <t>301903</t>
  </si>
  <si>
    <t>301904</t>
  </si>
  <si>
    <t>301905</t>
  </si>
  <si>
    <t>301906</t>
  </si>
  <si>
    <t>301907</t>
  </si>
  <si>
    <t>301908</t>
  </si>
  <si>
    <t>301909</t>
  </si>
  <si>
    <t>301910</t>
  </si>
  <si>
    <t>302001</t>
  </si>
  <si>
    <t>302002</t>
  </si>
  <si>
    <t>302003</t>
  </si>
  <si>
    <t>302004</t>
  </si>
  <si>
    <t>302005</t>
  </si>
  <si>
    <t>302006</t>
  </si>
  <si>
    <t>302007</t>
  </si>
  <si>
    <t>302008</t>
  </si>
  <si>
    <t>302009</t>
  </si>
  <si>
    <t>302010</t>
  </si>
  <si>
    <t>302101</t>
  </si>
  <si>
    <t>302102</t>
  </si>
  <si>
    <t>302103</t>
  </si>
  <si>
    <t>302104</t>
  </si>
  <si>
    <t>302105</t>
  </si>
  <si>
    <t>302106</t>
  </si>
  <si>
    <t>302107</t>
  </si>
  <si>
    <t>302108</t>
  </si>
  <si>
    <t>302109</t>
  </si>
  <si>
    <t>302110</t>
  </si>
  <si>
    <t>302301</t>
  </si>
  <si>
    <t>302302</t>
  </si>
  <si>
    <t>302303</t>
  </si>
  <si>
    <t>302304</t>
  </si>
  <si>
    <t>302305</t>
  </si>
  <si>
    <t>302306</t>
  </si>
  <si>
    <t>302307</t>
  </si>
  <si>
    <t>302308</t>
  </si>
  <si>
    <t>302309</t>
  </si>
  <si>
    <t>302310</t>
  </si>
  <si>
    <t>302401</t>
  </si>
  <si>
    <t>302402</t>
  </si>
  <si>
    <t>302403</t>
  </si>
  <si>
    <t>302404</t>
  </si>
  <si>
    <t>302405</t>
  </si>
  <si>
    <t>302406</t>
  </si>
  <si>
    <t>302407</t>
  </si>
  <si>
    <t>302408</t>
  </si>
  <si>
    <t>302409</t>
  </si>
  <si>
    <t>302410</t>
  </si>
  <si>
    <t>302501</t>
  </si>
  <si>
    <t>302502</t>
  </si>
  <si>
    <t>302503</t>
  </si>
  <si>
    <t>302504</t>
  </si>
  <si>
    <t>302505</t>
  </si>
  <si>
    <t>302506</t>
  </si>
  <si>
    <t>302507</t>
  </si>
  <si>
    <t>302508</t>
  </si>
  <si>
    <t>302509</t>
  </si>
  <si>
    <t>302510</t>
  </si>
  <si>
    <t>302601</t>
  </si>
  <si>
    <t>302602</t>
  </si>
  <si>
    <t>302603</t>
  </si>
  <si>
    <t>302604</t>
  </si>
  <si>
    <t>302605</t>
  </si>
  <si>
    <t>302606</t>
  </si>
  <si>
    <t>302607</t>
  </si>
  <si>
    <t>302608</t>
  </si>
  <si>
    <t>302609</t>
  </si>
  <si>
    <t>302610</t>
  </si>
  <si>
    <t>302801</t>
  </si>
  <si>
    <t>302802</t>
  </si>
  <si>
    <t>302803</t>
  </si>
  <si>
    <t>302804</t>
  </si>
  <si>
    <t>302805</t>
  </si>
  <si>
    <t>302806</t>
  </si>
  <si>
    <t>302807</t>
  </si>
  <si>
    <t>302808</t>
  </si>
  <si>
    <t>302809</t>
  </si>
  <si>
    <t>302810</t>
  </si>
  <si>
    <t>303001</t>
  </si>
  <si>
    <t>303002</t>
  </si>
  <si>
    <t>303003</t>
  </si>
  <si>
    <t>303004</t>
  </si>
  <si>
    <t>303005</t>
  </si>
  <si>
    <t>303006</t>
  </si>
  <si>
    <t>303007</t>
  </si>
  <si>
    <t>303008</t>
  </si>
  <si>
    <t>303009</t>
  </si>
  <si>
    <t>303010</t>
  </si>
  <si>
    <t>303101</t>
  </si>
  <si>
    <t>303102</t>
  </si>
  <si>
    <t>303103</t>
  </si>
  <si>
    <t>303104</t>
  </si>
  <si>
    <t>303105</t>
  </si>
  <si>
    <t>303106</t>
  </si>
  <si>
    <t>303107</t>
  </si>
  <si>
    <t>303108</t>
  </si>
  <si>
    <t>303109</t>
  </si>
  <si>
    <t>303110</t>
  </si>
  <si>
    <t>303301</t>
  </si>
  <si>
    <t>303302</t>
  </si>
  <si>
    <t>303303</t>
  </si>
  <si>
    <t>303304</t>
  </si>
  <si>
    <t>303305</t>
  </si>
  <si>
    <t>303306</t>
  </si>
  <si>
    <t>303307</t>
  </si>
  <si>
    <t>303308</t>
  </si>
  <si>
    <t>303309</t>
  </si>
  <si>
    <t>303310</t>
  </si>
  <si>
    <t>303401</t>
  </si>
  <si>
    <t>303402</t>
  </si>
  <si>
    <t>303403</t>
  </si>
  <si>
    <t>303404</t>
  </si>
  <si>
    <t>303405</t>
  </si>
  <si>
    <t>303406</t>
  </si>
  <si>
    <t>303407</t>
  </si>
  <si>
    <t>303408</t>
  </si>
  <si>
    <t>303409</t>
  </si>
  <si>
    <t>303410</t>
  </si>
  <si>
    <t>303601</t>
  </si>
  <si>
    <t>303602</t>
  </si>
  <si>
    <t>303603</t>
  </si>
  <si>
    <t>303604</t>
  </si>
  <si>
    <t>303605</t>
  </si>
  <si>
    <t>303606</t>
  </si>
  <si>
    <t>303607</t>
  </si>
  <si>
    <t>303608</t>
  </si>
  <si>
    <t>303609</t>
  </si>
  <si>
    <t>303610</t>
  </si>
  <si>
    <t>303801</t>
  </si>
  <si>
    <t>303802</t>
  </si>
  <si>
    <t>303803</t>
  </si>
  <si>
    <t>303804</t>
  </si>
  <si>
    <t>303805</t>
  </si>
  <si>
    <t>303806</t>
  </si>
  <si>
    <t>303807</t>
  </si>
  <si>
    <t>303808</t>
  </si>
  <si>
    <t>303809</t>
  </si>
  <si>
    <t>303810</t>
  </si>
  <si>
    <t>304001</t>
  </si>
  <si>
    <t>304002</t>
  </si>
  <si>
    <t>304003</t>
  </si>
  <si>
    <t>304004</t>
  </si>
  <si>
    <t>304005</t>
  </si>
  <si>
    <t>304006</t>
  </si>
  <si>
    <t>304007</t>
  </si>
  <si>
    <t>304008</t>
  </si>
  <si>
    <t>304009</t>
  </si>
  <si>
    <t>304010</t>
  </si>
  <si>
    <t>304101</t>
  </si>
  <si>
    <t>304102</t>
  </si>
  <si>
    <t>304103</t>
  </si>
  <si>
    <t>304104</t>
  </si>
  <si>
    <t>304105</t>
  </si>
  <si>
    <t>304106</t>
  </si>
  <si>
    <t>304107</t>
  </si>
  <si>
    <t>304108</t>
  </si>
  <si>
    <t>304109</t>
  </si>
  <si>
    <t>304110</t>
  </si>
  <si>
    <t>巨灵神</t>
  </si>
  <si>
    <t>天蓬元帅</t>
  </si>
  <si>
    <t>弼马温</t>
  </si>
  <si>
    <t>蝎子精</t>
  </si>
  <si>
    <t>卡组标题</t>
  </si>
  <si>
    <t>卡组内容</t>
  </si>
  <si>
    <t>卡组描述</t>
  </si>
  <si>
    <t>Title</t>
  </si>
  <si>
    <t>ComboList</t>
  </si>
  <si>
    <t>卡牌组合id</t>
  </si>
  <si>
    <t>卡组的标题名称</t>
  </si>
  <si>
    <t>卡组展示的部将卡id
没有则空</t>
  </si>
  <si>
    <t>卡组的详细描述</t>
  </si>
  <si>
    <t>stringnewline</t>
  </si>
  <si>
    <t>0 ~ 999</t>
  </si>
  <si>
    <t>系统推荐</t>
  </si>
  <si>
    <t>妖族</t>
  </si>
  <si>
    <t>2031;2033;2034;2025;2057;2021;2022;2020;2091;2030;2018;2023;2024;2027;2029;2039;2060;2063;2049;2065;2061;2038;2050;2054;2058;2136;2019;2026;2032</t>
  </si>
  <si>
    <t>妖族通过提供属性成长的部将，来使时有牵绊能力的部将触发牵绊，进而使妖族的部将获得持续的属性成长。</t>
  </si>
  <si>
    <t>罗刹</t>
  </si>
  <si>
    <t>罗刹牌组的介绍文本</t>
  </si>
  <si>
    <t>魔礼海</t>
  </si>
  <si>
    <t>一夫当关</t>
  </si>
  <si>
    <t>2133;2081;2145;2146;2065;2056;2144;2143;2134;2135;2141;2136;2138;2061;2038;2050;2054;2058;2130;2131;2132;2133;2137;2140;2142;2031;2033;2034;2025;2057</t>
  </si>
  <si>
    <t>一夫当关牌组的介绍文本</t>
  </si>
  <si>
    <t>魔族</t>
  </si>
  <si>
    <t>2073;2078;2079;2080;2152;2048;2055;2057;2069;2072;2071;2076;2074;2081;2065;2061;2038;2050;2054;2058;2136;2066;2067;2068;2074;2075</t>
  </si>
  <si>
    <t>魔族牌组的介绍文本</t>
  </si>
  <si>
    <t>妖族牌组的介绍文本</t>
  </si>
  <si>
    <t>中立</t>
  </si>
  <si>
    <t>2053;2152;2057;2055;2062;2031;2058;2063;2099;2051;2047;2049;2029;2034;2079;2065;2061;2038;2050;2054;2048;2060;2046;2043;2041;2042;2045;2136;2036;2037;2039;2044</t>
  </si>
  <si>
    <t>中立牌组的介绍文本</t>
  </si>
  <si>
    <t>灵山牌组的介绍文本</t>
  </si>
  <si>
    <t>龙族</t>
  </si>
  <si>
    <t>2133;2081;2145;2146;2065;2056;2144;2143;2134;2135;2141;2136;2138;2061;2038;2050;2054;2058;2130;2131;2132;2133;2137;2140;2142</t>
  </si>
  <si>
    <t>龙族牌组的介绍文本</t>
  </si>
  <si>
    <t>地府</t>
  </si>
  <si>
    <t>地府牌组的介绍文本</t>
  </si>
  <si>
    <t>神族</t>
  </si>
  <si>
    <t>神族牌组的介绍文本</t>
  </si>
  <si>
    <t>顺风耳</t>
  </si>
  <si>
    <t>铁扇公主</t>
  </si>
  <si>
    <t>二郎真君</t>
  </si>
  <si>
    <t>文殊天尊</t>
  </si>
  <si>
    <t>赵公明</t>
  </si>
  <si>
    <t>玄奘法师</t>
  </si>
  <si>
    <t>观音菩萨</t>
  </si>
  <si>
    <t>魔礼寿</t>
  </si>
  <si>
    <t>普贤真人</t>
  </si>
  <si>
    <t>标签名称</t>
  </si>
  <si>
    <t>标签底图</t>
  </si>
  <si>
    <t>LableBg</t>
  </si>
  <si>
    <t>标签ID</t>
  </si>
  <si>
    <t>标签上的名称文本</t>
  </si>
  <si>
    <t>标签底图使用的资源路径</t>
  </si>
  <si>
    <t>经济</t>
  </si>
  <si>
    <t>Card/Lable2</t>
  </si>
  <si>
    <t>增强</t>
  </si>
  <si>
    <t>Card/Lable1</t>
  </si>
  <si>
    <t>触发</t>
  </si>
  <si>
    <t>调遣</t>
  </si>
  <si>
    <t>Card/Lable3</t>
  </si>
  <si>
    <t>赋予</t>
  </si>
  <si>
    <t>晋升</t>
  </si>
  <si>
    <t>进攻</t>
  </si>
  <si>
    <t>异术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</si>
</sst>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rgb="FF30C0B4"/>
        <bgColor indexed="64"/>
      </patternFill>
    </fill>
    <fill>
      <patternFill patternType="solid">
        <fgColor theme="6" tint="0.7995849482711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5544297616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61546678060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9" applyNumberFormat="0" applyAlignment="0" applyProtection="0">
      <alignment vertical="center"/>
    </xf>
    <xf numFmtId="0" fontId="13" fillId="21" borderId="10" applyNumberFormat="0" applyAlignment="0" applyProtection="0">
      <alignment vertical="center"/>
    </xf>
    <xf numFmtId="0" fontId="14" fillId="21" borderId="9" applyNumberFormat="0" applyAlignment="0" applyProtection="0">
      <alignment vertical="center"/>
    </xf>
    <xf numFmtId="0" fontId="15" fillId="22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2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1" xfId="0" applyFont="1" applyFill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49" fontId="3" fillId="7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49" fontId="3" fillId="8" borderId="0" xfId="0" applyNumberFormat="1" applyFont="1" applyFill="1" applyAlignment="1">
      <alignment horizontal="left" vertical="center"/>
    </xf>
    <xf numFmtId="49" fontId="3" fillId="9" borderId="0" xfId="0" applyNumberFormat="1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49" fontId="3" fillId="10" borderId="0" xfId="0" applyNumberFormat="1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7" borderId="1" xfId="0" applyNumberFormat="1" applyFont="1" applyFill="1" applyBorder="1" applyAlignment="1">
      <alignment horizontal="left" vertical="center"/>
    </xf>
    <xf numFmtId="49" fontId="3" fillId="9" borderId="1" xfId="0" applyNumberFormat="1" applyFont="1" applyFill="1" applyBorder="1" applyAlignment="1">
      <alignment horizontal="left" vertical="center"/>
    </xf>
    <xf numFmtId="49" fontId="3" fillId="10" borderId="1" xfId="0" applyNumberFormat="1" applyFont="1" applyFill="1" applyBorder="1" applyAlignment="1">
      <alignment horizontal="left" vertical="center"/>
    </xf>
    <xf numFmtId="49" fontId="3" fillId="11" borderId="1" xfId="0" applyNumberFormat="1" applyFont="1" applyFill="1" applyBorder="1" applyAlignment="1">
      <alignment horizontal="left" vertical="center"/>
    </xf>
    <xf numFmtId="49" fontId="3" fillId="1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49" fontId="3" fillId="8" borderId="1" xfId="0" applyNumberFormat="1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20" fontId="3" fillId="7" borderId="1" xfId="0" applyNumberFormat="1" applyFont="1" applyFill="1" applyBorder="1" applyAlignment="1">
      <alignment horizontal="left" vertical="center"/>
    </xf>
    <xf numFmtId="20" fontId="3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14" borderId="1" xfId="0" applyNumberFormat="1" applyFont="1" applyFill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7" borderId="2" xfId="0" applyNumberFormat="1" applyFont="1" applyFill="1" applyBorder="1" applyAlignment="1">
      <alignment horizontal="left" vertical="center"/>
    </xf>
    <xf numFmtId="49" fontId="3" fillId="9" borderId="2" xfId="0" applyNumberFormat="1" applyFont="1" applyFill="1" applyBorder="1" applyAlignment="1">
      <alignment horizontal="left" vertical="center"/>
    </xf>
    <xf numFmtId="49" fontId="3" fillId="10" borderId="2" xfId="0" applyNumberFormat="1" applyFont="1" applyFill="1" applyBorder="1" applyAlignment="1">
      <alignment horizontal="left" vertical="center"/>
    </xf>
    <xf numFmtId="49" fontId="3" fillId="11" borderId="2" xfId="0" applyNumberFormat="1" applyFont="1" applyFill="1" applyBorder="1" applyAlignment="1">
      <alignment horizontal="left" vertical="center"/>
    </xf>
    <xf numFmtId="0" fontId="3" fillId="11" borderId="1" xfId="0" applyNumberFormat="1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49" fontId="3" fillId="12" borderId="2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left" vertical="center"/>
    </xf>
    <xf numFmtId="0" fontId="1" fillId="18" borderId="1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left" vertical="center"/>
    </xf>
    <xf numFmtId="0" fontId="1" fillId="15" borderId="1" xfId="0" applyNumberFormat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/>
    </xf>
    <xf numFmtId="0" fontId="3" fillId="15" borderId="3" xfId="0" applyFont="1" applyFill="1" applyBorder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1" xfId="0" applyNumberFormat="1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6" borderId="1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16" borderId="1" xfId="0" applyNumberFormat="1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left" vertical="center"/>
    </xf>
    <xf numFmtId="0" fontId="3" fillId="16" borderId="3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1" fillId="15" borderId="4" xfId="0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~1\AppData\Local\Temp\K_&#21345;&#29260;_&#32479;&#24069;.xlsx-rev34414.svn000.tmp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统帅"/>
      <sheetName val="统帅技能"/>
      <sheetName val="统帅熟练度等级"/>
      <sheetName val="统帅等级奖励"/>
      <sheetName val="统帅推荐牌组"/>
      <sheetName val="标签定义表"/>
    </sheetNames>
    <sheetDataSet>
      <sheetData sheetId="0" refreshError="1">
        <row r="1">
          <cell r="A1" t="str">
            <v>ID</v>
          </cell>
        </row>
        <row r="1">
          <cell r="D1" t="str">
            <v>大圣名称</v>
          </cell>
        </row>
        <row r="2">
          <cell r="A2" t="str">
            <v>Id</v>
          </cell>
        </row>
        <row r="2">
          <cell r="D2" t="str">
            <v>Name</v>
          </cell>
        </row>
        <row r="3">
          <cell r="A3" t="str">
            <v>大圣ID</v>
          </cell>
        </row>
        <row r="4">
          <cell r="A4" t="str">
            <v>int</v>
          </cell>
        </row>
        <row r="4">
          <cell r="D4" t="str">
            <v>string</v>
          </cell>
        </row>
        <row r="5">
          <cell r="A5" t="str">
            <v>备用行</v>
          </cell>
        </row>
        <row r="6">
          <cell r="A6">
            <v>3001</v>
          </cell>
        </row>
        <row r="6">
          <cell r="D6" t="str">
            <v>菩提祖师</v>
          </cell>
        </row>
        <row r="7">
          <cell r="A7">
            <v>3002</v>
          </cell>
        </row>
        <row r="7">
          <cell r="D7" t="str">
            <v>黄眉</v>
          </cell>
        </row>
        <row r="8">
          <cell r="A8">
            <v>3003</v>
          </cell>
        </row>
        <row r="8">
          <cell r="D8" t="str">
            <v>真武大帝</v>
          </cell>
        </row>
        <row r="9">
          <cell r="A9">
            <v>3004</v>
          </cell>
        </row>
        <row r="9">
          <cell r="D9" t="str">
            <v>金角大王</v>
          </cell>
        </row>
        <row r="10">
          <cell r="A10">
            <v>3005</v>
          </cell>
        </row>
        <row r="10">
          <cell r="D10" t="str">
            <v>太白金星</v>
          </cell>
        </row>
        <row r="11">
          <cell r="A11">
            <v>3006</v>
          </cell>
        </row>
        <row r="11">
          <cell r="D11" t="str">
            <v>黄风大圣</v>
          </cell>
        </row>
        <row r="12">
          <cell r="A12">
            <v>3007</v>
          </cell>
        </row>
        <row r="12">
          <cell r="D12" t="str">
            <v>魔礼红</v>
          </cell>
        </row>
        <row r="13">
          <cell r="A13">
            <v>3008</v>
          </cell>
        </row>
        <row r="13">
          <cell r="D13" t="str">
            <v>金池长老</v>
          </cell>
        </row>
        <row r="14">
          <cell r="A14">
            <v>3009</v>
          </cell>
        </row>
        <row r="14">
          <cell r="D14" t="str">
            <v>鬼子母神</v>
          </cell>
        </row>
        <row r="15">
          <cell r="A15">
            <v>3010</v>
          </cell>
        </row>
        <row r="15">
          <cell r="D15" t="str">
            <v>嫦娥</v>
          </cell>
        </row>
        <row r="16">
          <cell r="A16">
            <v>3011</v>
          </cell>
        </row>
        <row r="16">
          <cell r="D16" t="str">
            <v>托塔天王</v>
          </cell>
        </row>
        <row r="17">
          <cell r="A17">
            <v>3012</v>
          </cell>
        </row>
        <row r="17">
          <cell r="D17" t="str">
            <v>玉皇大帝</v>
          </cell>
        </row>
        <row r="18">
          <cell r="A18">
            <v>3013</v>
          </cell>
        </row>
        <row r="18">
          <cell r="D18" t="str">
            <v>月老</v>
          </cell>
        </row>
        <row r="19">
          <cell r="A19">
            <v>3014</v>
          </cell>
        </row>
        <row r="19">
          <cell r="D19" t="str">
            <v>骊山圣女</v>
          </cell>
        </row>
        <row r="20">
          <cell r="A20">
            <v>3015</v>
          </cell>
        </row>
        <row r="20">
          <cell r="D20" t="str">
            <v>六耳猕猴</v>
          </cell>
        </row>
        <row r="21">
          <cell r="A21">
            <v>3016</v>
          </cell>
        </row>
        <row r="21">
          <cell r="D21" t="str">
            <v>玉面狐狸</v>
          </cell>
        </row>
        <row r="22">
          <cell r="A22">
            <v>3017</v>
          </cell>
        </row>
        <row r="22">
          <cell r="D22" t="str">
            <v>太白金星</v>
          </cell>
        </row>
        <row r="23">
          <cell r="A23">
            <v>3018</v>
          </cell>
        </row>
        <row r="23">
          <cell r="D23" t="str">
            <v>钟馗</v>
          </cell>
        </row>
        <row r="24">
          <cell r="A24">
            <v>3019</v>
          </cell>
        </row>
        <row r="24">
          <cell r="D24" t="str">
            <v>斗战胜佛</v>
          </cell>
        </row>
        <row r="25">
          <cell r="A25">
            <v>3020</v>
          </cell>
        </row>
        <row r="25">
          <cell r="D25" t="str">
            <v>无天佛祖</v>
          </cell>
        </row>
        <row r="26">
          <cell r="A26">
            <v>3021</v>
          </cell>
        </row>
        <row r="26">
          <cell r="D26" t="str">
            <v>西王母</v>
          </cell>
        </row>
        <row r="27">
          <cell r="A27">
            <v>3022</v>
          </cell>
        </row>
        <row r="27">
          <cell r="D27" t="str">
            <v>魔礼青</v>
          </cell>
        </row>
        <row r="28">
          <cell r="A28">
            <v>3023</v>
          </cell>
        </row>
        <row r="28">
          <cell r="D28" t="str">
            <v>文财神</v>
          </cell>
        </row>
        <row r="29">
          <cell r="A29">
            <v>3024</v>
          </cell>
        </row>
        <row r="29">
          <cell r="D29" t="str">
            <v>文财神</v>
          </cell>
        </row>
        <row r="30">
          <cell r="A30">
            <v>3025</v>
          </cell>
        </row>
        <row r="30">
          <cell r="D30" t="str">
            <v>镇元子</v>
          </cell>
        </row>
        <row r="31">
          <cell r="A31">
            <v>3026</v>
          </cell>
        </row>
        <row r="31">
          <cell r="D31" t="str">
            <v>银角大王</v>
          </cell>
        </row>
        <row r="32">
          <cell r="A32">
            <v>3027</v>
          </cell>
        </row>
        <row r="32">
          <cell r="D32" t="str">
            <v>混世魔王</v>
          </cell>
        </row>
        <row r="33">
          <cell r="A33">
            <v>3028</v>
          </cell>
        </row>
        <row r="33">
          <cell r="D33" t="str">
            <v>观音大神</v>
          </cell>
        </row>
        <row r="34">
          <cell r="A34">
            <v>3029</v>
          </cell>
        </row>
        <row r="34">
          <cell r="D34" t="str">
            <v>女儿国王</v>
          </cell>
        </row>
        <row r="35">
          <cell r="A35">
            <v>3030</v>
          </cell>
        </row>
        <row r="35">
          <cell r="D35" t="str">
            <v>混世魔王</v>
          </cell>
        </row>
        <row r="36">
          <cell r="A36">
            <v>3031</v>
          </cell>
        </row>
        <row r="36">
          <cell r="D36" t="str">
            <v>黄狮精</v>
          </cell>
        </row>
        <row r="37">
          <cell r="A37">
            <v>3032</v>
          </cell>
        </row>
        <row r="37">
          <cell r="D37" t="str">
            <v>西王母</v>
          </cell>
        </row>
        <row r="38">
          <cell r="A38">
            <v>3033</v>
          </cell>
        </row>
        <row r="38">
          <cell r="D38" t="str">
            <v>孟婆</v>
          </cell>
        </row>
        <row r="39">
          <cell r="A39">
            <v>3034</v>
          </cell>
        </row>
        <row r="39">
          <cell r="D39" t="str">
            <v>女儿国王</v>
          </cell>
        </row>
        <row r="40">
          <cell r="A40">
            <v>3035</v>
          </cell>
        </row>
        <row r="40">
          <cell r="D40" t="str">
            <v>弥勒佛</v>
          </cell>
        </row>
        <row r="41">
          <cell r="A41">
            <v>3036</v>
          </cell>
        </row>
        <row r="41">
          <cell r="D41" t="str">
            <v>秦广王</v>
          </cell>
        </row>
        <row r="42">
          <cell r="A42">
            <v>3037</v>
          </cell>
        </row>
        <row r="42">
          <cell r="D42" t="str">
            <v>骊山圣女</v>
          </cell>
        </row>
        <row r="43">
          <cell r="A43">
            <v>3038</v>
          </cell>
        </row>
        <row r="43">
          <cell r="D43" t="str">
            <v>白衣哪吒</v>
          </cell>
        </row>
        <row r="44">
          <cell r="A44">
            <v>3039</v>
          </cell>
        </row>
        <row r="44">
          <cell r="D44" t="str">
            <v>灵吉菩萨</v>
          </cell>
        </row>
        <row r="45">
          <cell r="A45">
            <v>3040</v>
          </cell>
        </row>
        <row r="45">
          <cell r="D45" t="str">
            <v>敖丙</v>
          </cell>
        </row>
        <row r="46">
          <cell r="A46">
            <v>3041</v>
          </cell>
        </row>
        <row r="46">
          <cell r="D46" t="str">
            <v>月老</v>
          </cell>
        </row>
        <row r="47">
          <cell r="A47">
            <v>3042</v>
          </cell>
        </row>
        <row r="47">
          <cell r="D47" t="str">
            <v>武财神</v>
          </cell>
        </row>
        <row r="48">
          <cell r="A48">
            <v>3043</v>
          </cell>
        </row>
        <row r="48">
          <cell r="D48" t="str">
            <v>金池长老</v>
          </cell>
        </row>
        <row r="49">
          <cell r="A49">
            <v>3044</v>
          </cell>
        </row>
        <row r="49">
          <cell r="D49" t="str">
            <v>土地公</v>
          </cell>
        </row>
        <row r="50">
          <cell r="A50">
            <v>3045</v>
          </cell>
        </row>
        <row r="50">
          <cell r="D50" t="str">
            <v>李世民</v>
          </cell>
        </row>
        <row r="51">
          <cell r="A51">
            <v>3046</v>
          </cell>
        </row>
        <row r="51">
          <cell r="D51" t="str">
            <v>火德星君</v>
          </cell>
        </row>
        <row r="52">
          <cell r="A52">
            <v>3047</v>
          </cell>
        </row>
        <row r="52">
          <cell r="D52" t="str">
            <v>巨灵神</v>
          </cell>
        </row>
        <row r="53">
          <cell r="A53">
            <v>3048</v>
          </cell>
        </row>
        <row r="53">
          <cell r="D53" t="str">
            <v>天马</v>
          </cell>
        </row>
        <row r="54">
          <cell r="A54">
            <v>3049</v>
          </cell>
        </row>
        <row r="54">
          <cell r="D54" t="str">
            <v>天蓬元帅</v>
          </cell>
        </row>
        <row r="55">
          <cell r="A55">
            <v>3050</v>
          </cell>
        </row>
        <row r="55">
          <cell r="D55" t="str">
            <v>弥勒佛</v>
          </cell>
        </row>
        <row r="56">
          <cell r="A56">
            <v>3051</v>
          </cell>
        </row>
        <row r="56">
          <cell r="D56" t="str">
            <v>弼马温</v>
          </cell>
        </row>
        <row r="57">
          <cell r="A57">
            <v>3052</v>
          </cell>
        </row>
        <row r="57">
          <cell r="D57" t="str">
            <v>唐三藏</v>
          </cell>
        </row>
        <row r="58">
          <cell r="A58">
            <v>3053</v>
          </cell>
        </row>
        <row r="58">
          <cell r="D58" t="str">
            <v>孙悟空</v>
          </cell>
        </row>
        <row r="59">
          <cell r="A59">
            <v>3054</v>
          </cell>
        </row>
        <row r="59">
          <cell r="D59" t="str">
            <v>猪八戒</v>
          </cell>
        </row>
        <row r="60">
          <cell r="A60">
            <v>3055</v>
          </cell>
        </row>
        <row r="60">
          <cell r="D60" t="str">
            <v>沙和尚</v>
          </cell>
        </row>
        <row r="61">
          <cell r="A61">
            <v>3056</v>
          </cell>
        </row>
        <row r="61">
          <cell r="D61" t="str">
            <v>小白龙</v>
          </cell>
        </row>
        <row r="62">
          <cell r="A62">
            <v>5001</v>
          </cell>
        </row>
        <row r="62">
          <cell r="D62" t="str">
            <v>小童子</v>
          </cell>
        </row>
        <row r="63">
          <cell r="A63">
            <v>5002</v>
          </cell>
        </row>
        <row r="63">
          <cell r="D63" t="str">
            <v>缺心眼</v>
          </cell>
        </row>
        <row r="64">
          <cell r="A64">
            <v>5003</v>
          </cell>
        </row>
        <row r="64">
          <cell r="D64" t="str">
            <v>土地公</v>
          </cell>
        </row>
        <row r="65">
          <cell r="A65">
            <v>5004</v>
          </cell>
        </row>
        <row r="65">
          <cell r="D65" t="str">
            <v>猪八戒</v>
          </cell>
        </row>
        <row r="66">
          <cell r="A66">
            <v>5005</v>
          </cell>
        </row>
        <row r="66">
          <cell r="D66" t="str">
            <v>白龙马</v>
          </cell>
        </row>
        <row r="67">
          <cell r="A67">
            <v>5006</v>
          </cell>
        </row>
        <row r="67">
          <cell r="D67" t="str">
            <v>沙悟净</v>
          </cell>
        </row>
        <row r="68">
          <cell r="A68">
            <v>5007</v>
          </cell>
        </row>
        <row r="68">
          <cell r="D68" t="str">
            <v>巡山小妖</v>
          </cell>
        </row>
        <row r="69">
          <cell r="A69">
            <v>5008</v>
          </cell>
        </row>
        <row r="69">
          <cell r="D69" t="str">
            <v>阿呆阿瓜</v>
          </cell>
        </row>
        <row r="70">
          <cell r="A70">
            <v>5009</v>
          </cell>
        </row>
        <row r="70">
          <cell r="D70" t="str">
            <v>黑熊精</v>
          </cell>
        </row>
        <row r="71">
          <cell r="A71">
            <v>5010</v>
          </cell>
        </row>
        <row r="71">
          <cell r="D71" t="str">
            <v>黄风大圣</v>
          </cell>
        </row>
        <row r="72">
          <cell r="A72">
            <v>5011</v>
          </cell>
        </row>
        <row r="72">
          <cell r="D72" t="str">
            <v>金池长老</v>
          </cell>
        </row>
        <row r="73">
          <cell r="A73">
            <v>5012</v>
          </cell>
        </row>
        <row r="73">
          <cell r="D73" t="str">
            <v>金角大王</v>
          </cell>
        </row>
        <row r="74">
          <cell r="A74">
            <v>5013</v>
          </cell>
        </row>
        <row r="74">
          <cell r="D74" t="str">
            <v>红孩儿</v>
          </cell>
        </row>
        <row r="75">
          <cell r="A75">
            <v>5014</v>
          </cell>
        </row>
        <row r="75">
          <cell r="D75" t="str">
            <v>太白金星</v>
          </cell>
        </row>
        <row r="76">
          <cell r="A76">
            <v>5015</v>
          </cell>
        </row>
        <row r="76">
          <cell r="D76" t="str">
            <v>袁守城</v>
          </cell>
        </row>
        <row r="77">
          <cell r="A77">
            <v>5016</v>
          </cell>
        </row>
        <row r="77">
          <cell r="D77" t="str">
            <v>镇元子</v>
          </cell>
        </row>
        <row r="78">
          <cell r="A78">
            <v>5017</v>
          </cell>
        </row>
        <row r="78">
          <cell r="D78" t="str">
            <v>骊山仙子</v>
          </cell>
        </row>
        <row r="79">
          <cell r="A79">
            <v>5018</v>
          </cell>
        </row>
        <row r="79">
          <cell r="D79" t="str">
            <v>白骨精</v>
          </cell>
        </row>
        <row r="80">
          <cell r="A80">
            <v>5019</v>
          </cell>
        </row>
        <row r="80">
          <cell r="D80" t="str">
            <v>黄袍怪</v>
          </cell>
        </row>
        <row r="81">
          <cell r="A81">
            <v>5020</v>
          </cell>
        </row>
        <row r="81">
          <cell r="D81" t="str">
            <v>大鹏金翅鸟</v>
          </cell>
        </row>
        <row r="82">
          <cell r="A82">
            <v>5021</v>
          </cell>
        </row>
        <row r="82">
          <cell r="D82" t="str">
            <v>敖丙</v>
          </cell>
        </row>
        <row r="83">
          <cell r="A83">
            <v>5022</v>
          </cell>
        </row>
        <row r="83">
          <cell r="D83" t="str">
            <v>孔雀公主</v>
          </cell>
        </row>
        <row r="84">
          <cell r="A84">
            <v>5023</v>
          </cell>
        </row>
        <row r="84">
          <cell r="D84" t="str">
            <v>女儿国王</v>
          </cell>
        </row>
        <row r="85">
          <cell r="A85">
            <v>5024</v>
          </cell>
        </row>
        <row r="85">
          <cell r="D85" t="str">
            <v>青狮精</v>
          </cell>
        </row>
        <row r="86">
          <cell r="A86">
            <v>5025</v>
          </cell>
        </row>
        <row r="86">
          <cell r="D86" t="str">
            <v>虎力大仙</v>
          </cell>
        </row>
        <row r="87">
          <cell r="A87">
            <v>5026</v>
          </cell>
        </row>
        <row r="87">
          <cell r="D87" t="str">
            <v>老鼠精</v>
          </cell>
        </row>
        <row r="88">
          <cell r="A88">
            <v>5027</v>
          </cell>
        </row>
        <row r="88">
          <cell r="D88" t="str">
            <v>黄梅老祖</v>
          </cell>
        </row>
        <row r="89">
          <cell r="A89">
            <v>5028</v>
          </cell>
        </row>
        <row r="89">
          <cell r="D89" t="str">
            <v>唐王</v>
          </cell>
        </row>
        <row r="90">
          <cell r="A90">
            <v>5029</v>
          </cell>
        </row>
        <row r="90">
          <cell r="D90" t="str">
            <v>战狂</v>
          </cell>
        </row>
        <row r="91">
          <cell r="A91">
            <v>5030</v>
          </cell>
        </row>
        <row r="91">
          <cell r="D91" t="str">
            <v>金蝉子</v>
          </cell>
        </row>
        <row r="92">
          <cell r="A92">
            <v>5031</v>
          </cell>
        </row>
        <row r="92">
          <cell r="D92" t="str">
            <v>六耳猕猴</v>
          </cell>
        </row>
        <row r="93">
          <cell r="A93">
            <v>5032</v>
          </cell>
        </row>
        <row r="93">
          <cell r="D93" t="str">
            <v>菩提祖师</v>
          </cell>
        </row>
        <row r="94">
          <cell r="A94">
            <v>5033</v>
          </cell>
        </row>
        <row r="94">
          <cell r="D94" t="str">
            <v>无天佛祖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E153"/>
  <sheetViews>
    <sheetView workbookViewId="0">
      <pane xSplit="4" ySplit="4" topLeftCell="L73" activePane="bottomRight" state="frozen"/>
      <selection/>
      <selection pane="topRight"/>
      <selection pane="bottomLeft"/>
      <selection pane="bottomRight" activeCell="D79" sqref="D79"/>
    </sheetView>
  </sheetViews>
  <sheetFormatPr defaultColWidth="11.875" defaultRowHeight="16.5"/>
  <cols>
    <col min="1" max="10" width="15.5" style="19" customWidth="1"/>
    <col min="11" max="13" width="13.0833333333333" style="19" customWidth="1"/>
    <col min="14" max="14" width="33.875" style="19" customWidth="1"/>
    <col min="15" max="15" width="8.75" style="19" customWidth="1"/>
    <col min="16" max="16" width="25.875" style="19" customWidth="1"/>
    <col min="17" max="17" width="13.675" style="19" customWidth="1"/>
    <col min="18" max="18" width="6.25" style="19" customWidth="1"/>
    <col min="19" max="19" width="24.625" style="19" customWidth="1"/>
    <col min="20" max="20" width="56.75" style="19" customWidth="1"/>
    <col min="21" max="21" width="12.75" style="70" customWidth="1"/>
    <col min="22" max="22" width="12.625" style="70" customWidth="1"/>
    <col min="23" max="23" width="10.375" style="70" customWidth="1"/>
    <col min="24" max="24" width="10.375" style="73" customWidth="1"/>
    <col min="25" max="25" width="9.375" style="70" customWidth="1"/>
    <col min="26" max="27" width="15.25" style="10" customWidth="1"/>
    <col min="28" max="28" width="23.625" style="4" customWidth="1"/>
    <col min="29" max="30" width="15" style="19" customWidth="1"/>
    <col min="31" max="16384" width="11.875" style="19"/>
  </cols>
  <sheetData>
    <row r="1" ht="33" spans="1:30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77" t="s">
        <v>9</v>
      </c>
      <c r="L1" s="77" t="s">
        <v>10</v>
      </c>
      <c r="M1" s="77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44" t="s">
        <v>17</v>
      </c>
      <c r="T1" s="78" t="s">
        <v>18</v>
      </c>
      <c r="U1" s="44" t="s">
        <v>19</v>
      </c>
      <c r="V1" s="79" t="s">
        <v>20</v>
      </c>
      <c r="W1" s="44" t="s">
        <v>21</v>
      </c>
      <c r="X1" s="80" t="s">
        <v>22</v>
      </c>
      <c r="Y1" s="8" t="s">
        <v>23</v>
      </c>
      <c r="Z1" s="8" t="s">
        <v>24</v>
      </c>
      <c r="AA1" s="8" t="s">
        <v>25</v>
      </c>
      <c r="AB1" s="6" t="s">
        <v>26</v>
      </c>
      <c r="AC1" s="6" t="s">
        <v>27</v>
      </c>
      <c r="AD1" s="81" t="s">
        <v>28</v>
      </c>
    </row>
    <row r="2" ht="33" spans="1:30">
      <c r="A2" s="2" t="s">
        <v>29</v>
      </c>
      <c r="B2" s="2" t="s">
        <v>30</v>
      </c>
      <c r="C2" s="2" t="s">
        <v>31</v>
      </c>
      <c r="D2" s="2" t="s">
        <v>32</v>
      </c>
      <c r="E2" s="2"/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44" t="s">
        <v>38</v>
      </c>
      <c r="L2" s="44" t="s">
        <v>39</v>
      </c>
      <c r="M2" s="44" t="s">
        <v>40</v>
      </c>
      <c r="N2" s="77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44" t="s">
        <v>46</v>
      </c>
      <c r="T2" s="78" t="s">
        <v>47</v>
      </c>
      <c r="U2" s="44" t="s">
        <v>48</v>
      </c>
      <c r="V2" s="79" t="s">
        <v>49</v>
      </c>
      <c r="W2" s="44" t="s">
        <v>50</v>
      </c>
      <c r="X2" s="80" t="s">
        <v>51</v>
      </c>
      <c r="Y2" s="8" t="s">
        <v>52</v>
      </c>
      <c r="Z2" s="8" t="s">
        <v>53</v>
      </c>
      <c r="AA2" s="8" t="s">
        <v>54</v>
      </c>
      <c r="AB2" s="6" t="s">
        <v>55</v>
      </c>
      <c r="AC2" s="6" t="s">
        <v>56</v>
      </c>
      <c r="AD2" s="81" t="s">
        <v>57</v>
      </c>
    </row>
    <row r="3" ht="132" spans="1:30">
      <c r="A3" s="2" t="s">
        <v>58</v>
      </c>
      <c r="B3" s="2" t="s">
        <v>59</v>
      </c>
      <c r="C3" s="2" t="s">
        <v>60</v>
      </c>
      <c r="D3" s="2"/>
      <c r="E3" s="2"/>
      <c r="F3" s="2" t="s">
        <v>61</v>
      </c>
      <c r="G3" s="2" t="s">
        <v>62</v>
      </c>
      <c r="H3" s="2" t="s">
        <v>63</v>
      </c>
      <c r="I3" s="2" t="s">
        <v>64</v>
      </c>
      <c r="J3" s="2" t="s">
        <v>65</v>
      </c>
      <c r="K3" s="77" t="s">
        <v>66</v>
      </c>
      <c r="L3" s="77" t="s">
        <v>67</v>
      </c>
      <c r="M3" s="77" t="s">
        <v>68</v>
      </c>
      <c r="N3" s="2" t="s">
        <v>69</v>
      </c>
      <c r="O3" s="2"/>
      <c r="P3" s="2" t="s">
        <v>70</v>
      </c>
      <c r="Q3" s="2" t="s">
        <v>71</v>
      </c>
      <c r="R3" s="2" t="s">
        <v>72</v>
      </c>
      <c r="S3" s="44" t="s">
        <v>73</v>
      </c>
      <c r="T3" s="78" t="s">
        <v>74</v>
      </c>
      <c r="U3" s="44" t="s">
        <v>75</v>
      </c>
      <c r="V3" s="79" t="s">
        <v>76</v>
      </c>
      <c r="W3" s="44" t="s">
        <v>77</v>
      </c>
      <c r="X3" s="80" t="s">
        <v>78</v>
      </c>
      <c r="Y3" s="8"/>
      <c r="Z3" s="8" t="s">
        <v>79</v>
      </c>
      <c r="AA3" s="8" t="s">
        <v>80</v>
      </c>
      <c r="AB3" s="8" t="s">
        <v>81</v>
      </c>
      <c r="AC3" s="8" t="s">
        <v>82</v>
      </c>
      <c r="AD3" s="82" t="s">
        <v>28</v>
      </c>
    </row>
    <row r="4" spans="1:30">
      <c r="A4" s="2" t="s">
        <v>83</v>
      </c>
      <c r="B4" s="2" t="s">
        <v>83</v>
      </c>
      <c r="C4" s="2" t="s">
        <v>83</v>
      </c>
      <c r="D4" s="2" t="s">
        <v>84</v>
      </c>
      <c r="E4" s="2"/>
      <c r="F4" s="2" t="s">
        <v>83</v>
      </c>
      <c r="G4" s="2" t="s">
        <v>83</v>
      </c>
      <c r="H4" s="2" t="s">
        <v>83</v>
      </c>
      <c r="I4" s="2" t="s">
        <v>85</v>
      </c>
      <c r="J4" s="2" t="s">
        <v>83</v>
      </c>
      <c r="K4" s="77" t="s">
        <v>83</v>
      </c>
      <c r="L4" s="77" t="s">
        <v>83</v>
      </c>
      <c r="M4" s="77" t="s">
        <v>86</v>
      </c>
      <c r="N4" s="2" t="s">
        <v>86</v>
      </c>
      <c r="O4" s="2" t="s">
        <v>83</v>
      </c>
      <c r="P4" s="2" t="s">
        <v>85</v>
      </c>
      <c r="Q4" s="2" t="s">
        <v>83</v>
      </c>
      <c r="R4" s="2" t="s">
        <v>85</v>
      </c>
      <c r="S4" s="44" t="s">
        <v>84</v>
      </c>
      <c r="T4" s="78" t="s">
        <v>84</v>
      </c>
      <c r="U4" s="44" t="s">
        <v>85</v>
      </c>
      <c r="V4" s="79" t="s">
        <v>83</v>
      </c>
      <c r="W4" s="44" t="s">
        <v>87</v>
      </c>
      <c r="X4" s="80" t="s">
        <v>83</v>
      </c>
      <c r="Y4" s="8" t="s">
        <v>83</v>
      </c>
      <c r="Z4" s="8" t="s">
        <v>83</v>
      </c>
      <c r="AA4" s="8" t="s">
        <v>84</v>
      </c>
      <c r="AB4" s="6" t="s">
        <v>84</v>
      </c>
      <c r="AC4" s="6" t="s">
        <v>85</v>
      </c>
      <c r="AD4" s="81" t="s">
        <v>83</v>
      </c>
    </row>
    <row r="5" spans="1:30">
      <c r="A5" s="2" t="s">
        <v>88</v>
      </c>
      <c r="B5" s="2"/>
      <c r="C5" s="2"/>
      <c r="D5" s="2"/>
      <c r="E5" s="2"/>
      <c r="F5" s="2"/>
      <c r="G5" s="2"/>
      <c r="H5" s="2"/>
      <c r="I5" s="2"/>
      <c r="J5" s="2"/>
      <c r="K5" s="44"/>
      <c r="L5" s="44"/>
      <c r="M5" s="44"/>
      <c r="N5" s="44"/>
      <c r="O5" s="2"/>
      <c r="P5" s="2"/>
      <c r="Q5" s="2"/>
      <c r="R5" s="2"/>
      <c r="S5" s="44"/>
      <c r="T5" s="78"/>
      <c r="U5" s="44"/>
      <c r="V5" s="79"/>
      <c r="W5" s="44"/>
      <c r="X5" s="80"/>
      <c r="Y5" s="8"/>
      <c r="Z5" s="8"/>
      <c r="AA5" s="8"/>
      <c r="AB5" s="6"/>
      <c r="AC5" s="6"/>
      <c r="AD5" s="81"/>
    </row>
    <row r="6" s="67" customFormat="1" spans="1:30">
      <c r="A6" s="83">
        <v>3001</v>
      </c>
      <c r="B6" s="83">
        <v>1</v>
      </c>
      <c r="C6" s="83">
        <v>1</v>
      </c>
      <c r="D6" s="83" t="s">
        <v>89</v>
      </c>
      <c r="E6" s="84">
        <v>0</v>
      </c>
      <c r="F6" s="83">
        <v>1</v>
      </c>
      <c r="G6" s="83">
        <v>6</v>
      </c>
      <c r="H6" s="83">
        <v>30010</v>
      </c>
      <c r="I6" s="83" t="s">
        <v>90</v>
      </c>
      <c r="J6" s="83"/>
      <c r="K6" s="43"/>
      <c r="L6" s="43"/>
      <c r="M6" s="43"/>
      <c r="N6" s="43"/>
      <c r="O6" s="83">
        <v>30011</v>
      </c>
      <c r="P6" s="83">
        <v>30011</v>
      </c>
      <c r="Q6" s="83">
        <v>1</v>
      </c>
      <c r="R6" s="83">
        <v>1</v>
      </c>
      <c r="S6" s="56" t="s">
        <v>91</v>
      </c>
      <c r="T6" s="85" t="s">
        <v>92</v>
      </c>
      <c r="U6" s="56"/>
      <c r="V6" s="39">
        <v>50</v>
      </c>
      <c r="W6" s="56">
        <v>1</v>
      </c>
      <c r="X6" s="53">
        <v>100</v>
      </c>
      <c r="Y6" s="56">
        <v>1</v>
      </c>
      <c r="Z6" s="56">
        <v>3001</v>
      </c>
      <c r="AA6" s="56"/>
      <c r="AB6" s="86"/>
      <c r="AC6" s="67" t="s">
        <v>93</v>
      </c>
      <c r="AD6" s="67">
        <v>10000</v>
      </c>
    </row>
    <row r="7" s="20" customFormat="1" spans="1:30">
      <c r="A7" s="87">
        <v>3002</v>
      </c>
      <c r="B7" s="87">
        <v>0</v>
      </c>
      <c r="C7" s="87">
        <v>0</v>
      </c>
      <c r="D7" s="87" t="s">
        <v>94</v>
      </c>
      <c r="E7" s="87"/>
      <c r="F7" s="87">
        <v>2</v>
      </c>
      <c r="G7" s="87">
        <v>6</v>
      </c>
      <c r="H7" s="87">
        <v>30020</v>
      </c>
      <c r="I7" s="87">
        <v>30021</v>
      </c>
      <c r="J7" s="87"/>
      <c r="K7" s="53"/>
      <c r="L7" s="53"/>
      <c r="M7" s="53"/>
      <c r="N7" s="53"/>
      <c r="O7" s="87">
        <v>30021</v>
      </c>
      <c r="P7" s="87">
        <v>30021</v>
      </c>
      <c r="Q7" s="83">
        <v>1</v>
      </c>
      <c r="R7" s="87">
        <v>2</v>
      </c>
      <c r="S7" s="47" t="s">
        <v>95</v>
      </c>
      <c r="T7" s="88" t="s">
        <v>96</v>
      </c>
      <c r="U7" s="47"/>
      <c r="V7" s="39">
        <v>50</v>
      </c>
      <c r="W7" s="47"/>
      <c r="X7" s="53">
        <v>0</v>
      </c>
      <c r="Y7" s="47">
        <v>1</v>
      </c>
      <c r="Z7" s="47">
        <v>3001</v>
      </c>
      <c r="AA7" s="47"/>
      <c r="AB7" s="32"/>
      <c r="AC7" s="20">
        <v>1</v>
      </c>
    </row>
    <row r="8" s="67" customFormat="1" spans="1:30">
      <c r="A8" s="83">
        <v>3003</v>
      </c>
      <c r="B8" s="83">
        <v>1</v>
      </c>
      <c r="C8" s="83">
        <v>1</v>
      </c>
      <c r="D8" s="83" t="s">
        <v>97</v>
      </c>
      <c r="E8" s="84" t="s">
        <v>98</v>
      </c>
      <c r="F8" s="83">
        <v>3</v>
      </c>
      <c r="G8" s="83">
        <v>6</v>
      </c>
      <c r="H8" s="83">
        <v>30030</v>
      </c>
      <c r="I8" s="83">
        <v>30031</v>
      </c>
      <c r="J8" s="83">
        <v>-1</v>
      </c>
      <c r="K8" s="43">
        <v>5</v>
      </c>
      <c r="L8" s="43">
        <v>2500</v>
      </c>
      <c r="M8" s="43" t="s">
        <v>99</v>
      </c>
      <c r="N8" s="43" t="s">
        <v>100</v>
      </c>
      <c r="O8" s="83">
        <v>30031</v>
      </c>
      <c r="P8" s="83">
        <v>30031</v>
      </c>
      <c r="Q8" s="83">
        <v>1</v>
      </c>
      <c r="R8" s="83">
        <v>3</v>
      </c>
      <c r="S8" s="56" t="s">
        <v>101</v>
      </c>
      <c r="T8" s="85" t="s">
        <v>102</v>
      </c>
      <c r="U8" s="56"/>
      <c r="V8" s="39">
        <v>50</v>
      </c>
      <c r="W8" s="56">
        <v>1.5</v>
      </c>
      <c r="X8" s="53">
        <v>100</v>
      </c>
      <c r="Y8" s="56">
        <v>1</v>
      </c>
      <c r="Z8" s="56">
        <v>3003</v>
      </c>
      <c r="AA8" s="56"/>
      <c r="AB8" s="86"/>
      <c r="AC8" s="67" t="s">
        <v>103</v>
      </c>
      <c r="AD8" s="67">
        <v>10000</v>
      </c>
    </row>
    <row r="9" s="67" customFormat="1" spans="1:30">
      <c r="A9" s="83">
        <v>3004</v>
      </c>
      <c r="B9" s="83">
        <v>1</v>
      </c>
      <c r="C9" s="83">
        <v>0</v>
      </c>
      <c r="D9" s="83" t="s">
        <v>104</v>
      </c>
      <c r="E9" s="84">
        <v>0</v>
      </c>
      <c r="F9" s="83">
        <v>4</v>
      </c>
      <c r="G9" s="83">
        <v>6</v>
      </c>
      <c r="H9" s="83">
        <v>30040</v>
      </c>
      <c r="I9" s="83" t="s">
        <v>105</v>
      </c>
      <c r="J9" s="83"/>
      <c r="K9" s="43"/>
      <c r="L9" s="43"/>
      <c r="M9" s="43"/>
      <c r="N9" s="43"/>
      <c r="O9" s="83">
        <v>30041</v>
      </c>
      <c r="P9" s="89" t="s">
        <v>105</v>
      </c>
      <c r="Q9" s="83">
        <v>1</v>
      </c>
      <c r="R9" s="83">
        <v>4</v>
      </c>
      <c r="S9" s="56" t="s">
        <v>106</v>
      </c>
      <c r="T9" s="85" t="s">
        <v>107</v>
      </c>
      <c r="U9" s="56"/>
      <c r="V9" s="39">
        <v>50</v>
      </c>
      <c r="W9" s="56">
        <v>2</v>
      </c>
      <c r="X9" s="53">
        <v>100</v>
      </c>
      <c r="Y9" s="56">
        <v>1</v>
      </c>
      <c r="Z9" s="56">
        <v>3004</v>
      </c>
      <c r="AA9" s="56"/>
      <c r="AB9" s="86"/>
      <c r="AC9" s="67">
        <v>7</v>
      </c>
      <c r="AD9" s="67">
        <v>10000</v>
      </c>
    </row>
    <row r="10" s="20" customFormat="1" spans="1:30">
      <c r="A10" s="87">
        <v>3005</v>
      </c>
      <c r="B10" s="87">
        <v>0</v>
      </c>
      <c r="C10" s="87">
        <v>0</v>
      </c>
      <c r="D10" s="87" t="s">
        <v>108</v>
      </c>
      <c r="E10" s="87"/>
      <c r="F10" s="87">
        <v>5</v>
      </c>
      <c r="G10" s="87">
        <v>6</v>
      </c>
      <c r="H10" s="87">
        <v>30050</v>
      </c>
      <c r="I10" s="87">
        <v>30051</v>
      </c>
      <c r="J10" s="87"/>
      <c r="K10" s="53"/>
      <c r="L10" s="53"/>
      <c r="M10" s="53"/>
      <c r="N10" s="53"/>
      <c r="O10" s="87">
        <v>30051</v>
      </c>
      <c r="P10" s="87">
        <v>30051</v>
      </c>
      <c r="Q10" s="83">
        <v>1</v>
      </c>
      <c r="R10" s="87">
        <v>5</v>
      </c>
      <c r="S10" s="47" t="s">
        <v>95</v>
      </c>
      <c r="T10" s="88" t="s">
        <v>96</v>
      </c>
      <c r="U10" s="47"/>
      <c r="V10" s="39">
        <v>50</v>
      </c>
      <c r="W10" s="47"/>
      <c r="X10" s="53">
        <v>0</v>
      </c>
      <c r="Y10" s="47">
        <v>1</v>
      </c>
      <c r="Z10" s="47">
        <v>3001</v>
      </c>
      <c r="AA10" s="47"/>
      <c r="AB10" s="32"/>
      <c r="AC10" s="20">
        <v>1</v>
      </c>
    </row>
    <row r="11" s="67" customFormat="1" spans="1:30">
      <c r="A11" s="83">
        <v>3006</v>
      </c>
      <c r="B11" s="83">
        <v>1</v>
      </c>
      <c r="C11" s="83">
        <v>1</v>
      </c>
      <c r="D11" s="83" t="s">
        <v>109</v>
      </c>
      <c r="E11" s="84">
        <v>10000</v>
      </c>
      <c r="F11" s="83">
        <v>6</v>
      </c>
      <c r="G11" s="83">
        <v>6</v>
      </c>
      <c r="H11" s="83">
        <v>30060</v>
      </c>
      <c r="I11" s="83">
        <v>30061</v>
      </c>
      <c r="J11" s="83">
        <v>10000</v>
      </c>
      <c r="K11" s="43"/>
      <c r="L11" s="43"/>
      <c r="M11" s="43"/>
      <c r="N11" s="43"/>
      <c r="O11" s="83">
        <v>30061</v>
      </c>
      <c r="P11" s="83" t="s">
        <v>110</v>
      </c>
      <c r="Q11" s="83">
        <v>1</v>
      </c>
      <c r="R11" s="83">
        <v>6</v>
      </c>
      <c r="S11" s="56" t="s">
        <v>111</v>
      </c>
      <c r="T11" s="85" t="s">
        <v>112</v>
      </c>
      <c r="U11" s="56"/>
      <c r="V11" s="39">
        <v>50</v>
      </c>
      <c r="W11" s="56">
        <v>1.5</v>
      </c>
      <c r="X11" s="53">
        <v>100</v>
      </c>
      <c r="Y11" s="56">
        <v>1</v>
      </c>
      <c r="Z11" s="56">
        <v>3006</v>
      </c>
      <c r="AA11" s="56"/>
      <c r="AB11" s="86"/>
      <c r="AC11" s="67">
        <v>3</v>
      </c>
      <c r="AD11" s="67">
        <v>10000</v>
      </c>
    </row>
    <row r="12" s="20" customFormat="1" spans="1:30">
      <c r="A12" s="87">
        <v>3007</v>
      </c>
      <c r="B12" s="87">
        <v>0</v>
      </c>
      <c r="C12" s="87">
        <v>0</v>
      </c>
      <c r="D12" s="87" t="s">
        <v>113</v>
      </c>
      <c r="E12" s="87"/>
      <c r="F12" s="87">
        <v>7</v>
      </c>
      <c r="G12" s="87">
        <v>6</v>
      </c>
      <c r="H12" s="87">
        <v>30070</v>
      </c>
      <c r="I12" s="87">
        <v>30071</v>
      </c>
      <c r="J12" s="87"/>
      <c r="K12" s="53"/>
      <c r="L12" s="53"/>
      <c r="M12" s="53"/>
      <c r="N12" s="53"/>
      <c r="O12" s="87">
        <v>30071</v>
      </c>
      <c r="P12" s="87">
        <v>30071</v>
      </c>
      <c r="Q12" s="83">
        <v>1</v>
      </c>
      <c r="R12" s="87">
        <v>7</v>
      </c>
      <c r="S12" s="47" t="s">
        <v>95</v>
      </c>
      <c r="T12" s="88" t="s">
        <v>96</v>
      </c>
      <c r="U12" s="47"/>
      <c r="V12" s="39">
        <v>50</v>
      </c>
      <c r="W12" s="47"/>
      <c r="X12" s="53">
        <v>0</v>
      </c>
      <c r="Y12" s="47">
        <v>1</v>
      </c>
      <c r="Z12" s="47">
        <v>3001</v>
      </c>
      <c r="AA12" s="47"/>
      <c r="AB12" s="32"/>
      <c r="AC12" s="20">
        <v>1</v>
      </c>
    </row>
    <row r="13" s="68" customFormat="1" spans="1:30">
      <c r="A13" s="73">
        <v>3008</v>
      </c>
      <c r="B13" s="73">
        <v>0</v>
      </c>
      <c r="C13" s="73">
        <v>0</v>
      </c>
      <c r="D13" s="73" t="s">
        <v>114</v>
      </c>
      <c r="E13" s="73"/>
      <c r="F13" s="73">
        <v>8</v>
      </c>
      <c r="G13" s="73">
        <v>6</v>
      </c>
      <c r="H13" s="73">
        <v>30080</v>
      </c>
      <c r="I13" s="73" t="s">
        <v>115</v>
      </c>
      <c r="J13" s="73">
        <v>-1</v>
      </c>
      <c r="K13" s="53">
        <v>3008</v>
      </c>
      <c r="L13" s="53">
        <v>1</v>
      </c>
      <c r="M13" s="53" t="s">
        <v>116</v>
      </c>
      <c r="N13" s="53"/>
      <c r="O13" s="73">
        <v>30081</v>
      </c>
      <c r="P13" s="73">
        <v>30081</v>
      </c>
      <c r="Q13" s="73">
        <v>1</v>
      </c>
      <c r="R13" s="73">
        <v>8</v>
      </c>
      <c r="S13" s="53" t="s">
        <v>117</v>
      </c>
      <c r="T13" s="90" t="s">
        <v>96</v>
      </c>
      <c r="U13" s="53"/>
      <c r="V13" s="53">
        <v>50</v>
      </c>
      <c r="W13" s="53">
        <v>3</v>
      </c>
      <c r="X13" s="53">
        <v>100</v>
      </c>
      <c r="Y13" s="53">
        <v>1</v>
      </c>
      <c r="Z13" s="53">
        <v>3008</v>
      </c>
      <c r="AA13" s="53"/>
      <c r="AB13" s="30"/>
      <c r="AC13" s="68">
        <v>1</v>
      </c>
    </row>
    <row r="14" s="67" customFormat="1" spans="1:30">
      <c r="A14" s="83">
        <v>3009</v>
      </c>
      <c r="B14" s="83">
        <v>1</v>
      </c>
      <c r="C14" s="83">
        <v>0</v>
      </c>
      <c r="D14" s="83" t="s">
        <v>118</v>
      </c>
      <c r="E14" s="84" t="s">
        <v>98</v>
      </c>
      <c r="F14" s="83">
        <v>9</v>
      </c>
      <c r="G14" s="83">
        <v>6</v>
      </c>
      <c r="H14" s="83">
        <v>30090</v>
      </c>
      <c r="I14" s="83">
        <v>30091</v>
      </c>
      <c r="J14" s="83">
        <v>-1</v>
      </c>
      <c r="K14" s="43">
        <v>5</v>
      </c>
      <c r="L14" s="43">
        <v>2500</v>
      </c>
      <c r="M14" s="43" t="s">
        <v>99</v>
      </c>
      <c r="N14" s="43" t="s">
        <v>100</v>
      </c>
      <c r="O14" s="83">
        <v>30091</v>
      </c>
      <c r="P14" s="83" t="s">
        <v>119</v>
      </c>
      <c r="Q14" s="83">
        <v>1</v>
      </c>
      <c r="R14" s="83">
        <v>9</v>
      </c>
      <c r="S14" s="56" t="s">
        <v>120</v>
      </c>
      <c r="T14" s="85" t="s">
        <v>121</v>
      </c>
      <c r="U14" s="56"/>
      <c r="V14" s="39">
        <v>50</v>
      </c>
      <c r="W14" s="56">
        <v>5</v>
      </c>
      <c r="X14" s="53">
        <v>100</v>
      </c>
      <c r="Y14" s="56">
        <v>1</v>
      </c>
      <c r="Z14" s="56">
        <v>3009</v>
      </c>
      <c r="AA14" s="56"/>
      <c r="AB14" s="86"/>
      <c r="AC14" s="67">
        <v>5</v>
      </c>
      <c r="AD14" s="67">
        <v>10000</v>
      </c>
    </row>
    <row r="15" s="20" customFormat="1" spans="1:30">
      <c r="A15" s="87">
        <v>3010</v>
      </c>
      <c r="B15" s="87">
        <v>0</v>
      </c>
      <c r="C15" s="87">
        <v>0</v>
      </c>
      <c r="D15" s="87" t="s">
        <v>122</v>
      </c>
      <c r="E15" s="87"/>
      <c r="F15" s="87">
        <v>10</v>
      </c>
      <c r="G15" s="87">
        <v>6</v>
      </c>
      <c r="H15" s="87">
        <v>30100</v>
      </c>
      <c r="I15" s="87">
        <v>30101</v>
      </c>
      <c r="J15" s="87"/>
      <c r="K15" s="53"/>
      <c r="L15" s="53"/>
      <c r="M15" s="53"/>
      <c r="N15" s="53"/>
      <c r="O15" s="87">
        <v>30101</v>
      </c>
      <c r="P15" s="87">
        <v>30101</v>
      </c>
      <c r="Q15" s="83">
        <v>1</v>
      </c>
      <c r="R15" s="87">
        <v>10</v>
      </c>
      <c r="S15" s="47" t="s">
        <v>95</v>
      </c>
      <c r="T15" s="88" t="s">
        <v>96</v>
      </c>
      <c r="U15" s="47"/>
      <c r="V15" s="39">
        <v>50</v>
      </c>
      <c r="W15" s="47"/>
      <c r="X15" s="53">
        <v>0</v>
      </c>
      <c r="Y15" s="47">
        <v>1</v>
      </c>
      <c r="Z15" s="47">
        <v>3001</v>
      </c>
      <c r="AA15" s="47"/>
      <c r="AB15" s="32"/>
      <c r="AC15" s="20">
        <v>1</v>
      </c>
    </row>
    <row r="16" s="67" customFormat="1" spans="1:30">
      <c r="A16" s="83">
        <v>3011</v>
      </c>
      <c r="B16" s="83">
        <v>1</v>
      </c>
      <c r="C16" s="83">
        <v>1</v>
      </c>
      <c r="D16" s="83" t="s">
        <v>123</v>
      </c>
      <c r="E16" s="84" t="s">
        <v>124</v>
      </c>
      <c r="F16" s="83">
        <v>11</v>
      </c>
      <c r="G16" s="83">
        <v>6</v>
      </c>
      <c r="H16" s="83">
        <v>30110</v>
      </c>
      <c r="I16" s="83">
        <v>30111</v>
      </c>
      <c r="J16" s="83">
        <v>-1</v>
      </c>
      <c r="K16" s="43">
        <v>3011</v>
      </c>
      <c r="L16" s="43">
        <v>1</v>
      </c>
      <c r="M16" s="43" t="s">
        <v>125</v>
      </c>
      <c r="N16" s="43"/>
      <c r="O16" s="83">
        <v>30111</v>
      </c>
      <c r="P16" s="83" t="s">
        <v>126</v>
      </c>
      <c r="Q16" s="83">
        <v>1</v>
      </c>
      <c r="R16" s="83">
        <v>11</v>
      </c>
      <c r="S16" s="56" t="s">
        <v>127</v>
      </c>
      <c r="T16" s="85" t="s">
        <v>128</v>
      </c>
      <c r="U16" s="56"/>
      <c r="V16" s="39">
        <v>50</v>
      </c>
      <c r="W16" s="56">
        <v>4</v>
      </c>
      <c r="X16" s="53">
        <v>100</v>
      </c>
      <c r="Y16" s="56">
        <v>1</v>
      </c>
      <c r="Z16" s="56">
        <v>3011</v>
      </c>
      <c r="AA16" s="56"/>
      <c r="AB16" s="86"/>
      <c r="AC16" s="67">
        <v>8</v>
      </c>
      <c r="AD16" s="67">
        <v>10000</v>
      </c>
    </row>
    <row r="17" s="67" customFormat="1" spans="1:30">
      <c r="A17" s="83">
        <v>3012</v>
      </c>
      <c r="B17" s="83">
        <v>1</v>
      </c>
      <c r="C17" s="83">
        <v>0</v>
      </c>
      <c r="D17" s="83" t="s">
        <v>129</v>
      </c>
      <c r="E17" s="84">
        <v>10000</v>
      </c>
      <c r="F17" s="83">
        <v>12</v>
      </c>
      <c r="G17" s="83">
        <v>6</v>
      </c>
      <c r="H17" s="83">
        <v>30120</v>
      </c>
      <c r="I17" s="83" t="s">
        <v>130</v>
      </c>
      <c r="J17" s="83"/>
      <c r="K17" s="56"/>
      <c r="L17" s="56"/>
      <c r="M17" s="56"/>
      <c r="N17" s="56"/>
      <c r="O17" s="83">
        <v>30121</v>
      </c>
      <c r="P17" s="83">
        <v>30121</v>
      </c>
      <c r="Q17" s="83">
        <v>1</v>
      </c>
      <c r="R17" s="83">
        <v>12</v>
      </c>
      <c r="S17" s="56" t="s">
        <v>131</v>
      </c>
      <c r="T17" s="85" t="s">
        <v>132</v>
      </c>
      <c r="U17" s="56"/>
      <c r="V17" s="39">
        <v>50</v>
      </c>
      <c r="W17" s="56">
        <v>4.5</v>
      </c>
      <c r="X17" s="53">
        <v>100</v>
      </c>
      <c r="Y17" s="56">
        <v>1</v>
      </c>
      <c r="Z17" s="56">
        <v>3012</v>
      </c>
      <c r="AA17" s="56"/>
      <c r="AB17" s="86"/>
      <c r="AC17" s="67">
        <v>999</v>
      </c>
      <c r="AD17" s="67">
        <v>10000</v>
      </c>
    </row>
    <row r="18" s="20" customFormat="1" spans="1:30">
      <c r="A18" s="87">
        <v>3013</v>
      </c>
      <c r="B18" s="87">
        <v>0</v>
      </c>
      <c r="C18" s="87">
        <v>0</v>
      </c>
      <c r="D18" s="87" t="s">
        <v>133</v>
      </c>
      <c r="E18" s="87"/>
      <c r="F18" s="87">
        <v>13</v>
      </c>
      <c r="G18" s="87">
        <v>6</v>
      </c>
      <c r="H18" s="87">
        <v>30130</v>
      </c>
      <c r="I18" s="87">
        <v>30131</v>
      </c>
      <c r="J18" s="87"/>
      <c r="K18" s="53"/>
      <c r="L18" s="53"/>
      <c r="M18" s="53"/>
      <c r="N18" s="53"/>
      <c r="O18" s="87">
        <v>30131</v>
      </c>
      <c r="P18" s="87" t="s">
        <v>134</v>
      </c>
      <c r="Q18" s="83">
        <v>1</v>
      </c>
      <c r="R18" s="87">
        <v>13</v>
      </c>
      <c r="S18" s="47" t="s">
        <v>135</v>
      </c>
      <c r="T18" s="88" t="s">
        <v>96</v>
      </c>
      <c r="U18" s="47"/>
      <c r="V18" s="39">
        <v>50</v>
      </c>
      <c r="W18" s="47"/>
      <c r="X18" s="53">
        <v>0</v>
      </c>
      <c r="Y18" s="47">
        <v>1</v>
      </c>
      <c r="Z18" s="47">
        <v>3001</v>
      </c>
      <c r="AA18" s="47"/>
      <c r="AB18" s="32"/>
      <c r="AC18" s="20">
        <v>1</v>
      </c>
    </row>
    <row r="19" s="67" customFormat="1" spans="1:30">
      <c r="A19" s="83">
        <v>3014</v>
      </c>
      <c r="B19" s="83">
        <v>1</v>
      </c>
      <c r="C19" s="83">
        <v>0</v>
      </c>
      <c r="D19" s="83" t="s">
        <v>136</v>
      </c>
      <c r="E19" s="84">
        <v>2000</v>
      </c>
      <c r="F19" s="83">
        <v>14</v>
      </c>
      <c r="G19" s="83">
        <v>6</v>
      </c>
      <c r="H19" s="83">
        <v>30140</v>
      </c>
      <c r="I19" s="83" t="s">
        <v>137</v>
      </c>
      <c r="J19" s="83">
        <v>2000</v>
      </c>
      <c r="K19" s="43"/>
      <c r="L19" s="43"/>
      <c r="M19" s="43"/>
      <c r="N19" s="43"/>
      <c r="O19" s="83">
        <v>30141</v>
      </c>
      <c r="P19" s="83" t="s">
        <v>137</v>
      </c>
      <c r="Q19" s="83">
        <v>1</v>
      </c>
      <c r="R19" s="83">
        <v>14</v>
      </c>
      <c r="S19" s="56" t="s">
        <v>138</v>
      </c>
      <c r="T19" s="85" t="s">
        <v>139</v>
      </c>
      <c r="U19" s="56"/>
      <c r="V19" s="39">
        <v>50</v>
      </c>
      <c r="W19" s="56">
        <v>3.5</v>
      </c>
      <c r="X19" s="53">
        <v>100</v>
      </c>
      <c r="Y19" s="56">
        <v>1</v>
      </c>
      <c r="Z19" s="56">
        <v>3014</v>
      </c>
      <c r="AA19" s="56"/>
      <c r="AB19" s="86"/>
      <c r="AC19" s="67" t="s">
        <v>140</v>
      </c>
      <c r="AD19" s="67">
        <v>10000</v>
      </c>
    </row>
    <row r="20" s="69" customFormat="1" spans="1:30">
      <c r="A20" s="76">
        <v>3015</v>
      </c>
      <c r="B20" s="76">
        <v>1</v>
      </c>
      <c r="C20" s="76">
        <v>0</v>
      </c>
      <c r="D20" s="76" t="s">
        <v>141</v>
      </c>
      <c r="E20" s="91" t="s">
        <v>142</v>
      </c>
      <c r="F20" s="76">
        <v>15</v>
      </c>
      <c r="G20" s="76">
        <v>6</v>
      </c>
      <c r="H20" s="76">
        <v>30150</v>
      </c>
      <c r="I20" s="76">
        <v>30151</v>
      </c>
      <c r="J20" s="76">
        <v>-1</v>
      </c>
      <c r="K20" s="92">
        <v>3015</v>
      </c>
      <c r="L20" s="92">
        <v>1</v>
      </c>
      <c r="M20" s="92" t="s">
        <v>143</v>
      </c>
      <c r="N20" s="92"/>
      <c r="O20" s="76">
        <v>30151</v>
      </c>
      <c r="P20" s="76">
        <v>30151</v>
      </c>
      <c r="Q20" s="76">
        <v>1</v>
      </c>
      <c r="R20" s="76">
        <v>15</v>
      </c>
      <c r="S20" s="92" t="s">
        <v>144</v>
      </c>
      <c r="T20" s="93" t="s">
        <v>145</v>
      </c>
      <c r="U20" s="92"/>
      <c r="V20" s="92">
        <v>50</v>
      </c>
      <c r="W20" s="92">
        <v>5</v>
      </c>
      <c r="X20" s="92">
        <v>100</v>
      </c>
      <c r="Y20" s="92">
        <v>1</v>
      </c>
      <c r="Z20" s="92">
        <v>3015</v>
      </c>
      <c r="AA20" s="92"/>
      <c r="AB20" s="94" t="s">
        <v>146</v>
      </c>
      <c r="AC20" s="69">
        <v>999</v>
      </c>
      <c r="AD20" s="69">
        <v>11000</v>
      </c>
    </row>
    <row r="21" s="67" customFormat="1" spans="1:30">
      <c r="A21" s="83">
        <v>3016</v>
      </c>
      <c r="B21" s="83">
        <v>1</v>
      </c>
      <c r="C21" s="83">
        <v>0</v>
      </c>
      <c r="D21" s="83" t="s">
        <v>147</v>
      </c>
      <c r="E21" s="84">
        <v>10000</v>
      </c>
      <c r="F21" s="83">
        <v>16</v>
      </c>
      <c r="G21" s="83">
        <v>6</v>
      </c>
      <c r="H21" s="83">
        <v>30160</v>
      </c>
      <c r="I21" s="83" t="s">
        <v>148</v>
      </c>
      <c r="J21" s="83"/>
      <c r="K21" s="43"/>
      <c r="L21" s="43"/>
      <c r="M21" s="43"/>
      <c r="N21" s="43"/>
      <c r="O21" s="83">
        <v>30161</v>
      </c>
      <c r="P21" s="83">
        <v>30161</v>
      </c>
      <c r="Q21" s="83">
        <v>1</v>
      </c>
      <c r="R21" s="83">
        <v>16</v>
      </c>
      <c r="S21" s="56" t="s">
        <v>149</v>
      </c>
      <c r="T21" s="85" t="s">
        <v>150</v>
      </c>
      <c r="U21" s="56"/>
      <c r="V21" s="39">
        <v>50</v>
      </c>
      <c r="W21" s="56">
        <v>5</v>
      </c>
      <c r="X21" s="53">
        <v>100</v>
      </c>
      <c r="Y21" s="56">
        <v>1</v>
      </c>
      <c r="Z21" s="56">
        <v>3016</v>
      </c>
      <c r="AA21" s="56"/>
      <c r="AB21" s="86"/>
      <c r="AC21" s="67">
        <v>999</v>
      </c>
      <c r="AD21" s="67">
        <v>10000</v>
      </c>
    </row>
    <row r="22" s="67" customFormat="1" spans="1:30">
      <c r="A22" s="83">
        <v>3017</v>
      </c>
      <c r="B22" s="83">
        <v>1</v>
      </c>
      <c r="C22" s="83">
        <v>0</v>
      </c>
      <c r="D22" s="83" t="s">
        <v>108</v>
      </c>
      <c r="E22" s="84">
        <v>2000</v>
      </c>
      <c r="F22" s="83">
        <v>17</v>
      </c>
      <c r="G22" s="83">
        <v>6</v>
      </c>
      <c r="H22" s="83">
        <v>30170</v>
      </c>
      <c r="I22" s="83">
        <v>30171</v>
      </c>
      <c r="J22" s="83">
        <v>2000</v>
      </c>
      <c r="K22" s="43"/>
      <c r="L22" s="43"/>
      <c r="M22" s="43"/>
      <c r="N22" s="43"/>
      <c r="O22" s="83">
        <v>30171</v>
      </c>
      <c r="P22" s="83">
        <v>30171</v>
      </c>
      <c r="Q22" s="83">
        <v>1</v>
      </c>
      <c r="R22" s="83">
        <v>17</v>
      </c>
      <c r="S22" s="56" t="s">
        <v>151</v>
      </c>
      <c r="T22" s="85" t="s">
        <v>152</v>
      </c>
      <c r="U22" s="56"/>
      <c r="V22" s="39">
        <v>50</v>
      </c>
      <c r="W22" s="56">
        <v>1</v>
      </c>
      <c r="X22" s="53">
        <v>100</v>
      </c>
      <c r="Y22" s="56">
        <v>1</v>
      </c>
      <c r="Z22" s="56">
        <v>3017</v>
      </c>
      <c r="AA22" s="56"/>
      <c r="AB22" s="86"/>
      <c r="AC22" s="67">
        <v>999</v>
      </c>
      <c r="AD22" s="67">
        <v>10000</v>
      </c>
    </row>
    <row r="23" s="67" customFormat="1" spans="1:30">
      <c r="A23" s="83">
        <v>3018</v>
      </c>
      <c r="B23" s="83">
        <v>1</v>
      </c>
      <c r="C23" s="83">
        <v>0</v>
      </c>
      <c r="D23" s="83" t="s">
        <v>153</v>
      </c>
      <c r="E23" s="84">
        <v>0</v>
      </c>
      <c r="F23" s="83">
        <v>18</v>
      </c>
      <c r="G23" s="83">
        <v>6</v>
      </c>
      <c r="H23" s="83">
        <v>30180</v>
      </c>
      <c r="I23" s="83">
        <v>30181</v>
      </c>
      <c r="J23" s="83"/>
      <c r="K23" s="56"/>
      <c r="L23" s="56"/>
      <c r="M23" s="56"/>
      <c r="N23" s="56"/>
      <c r="O23" s="83">
        <v>30181</v>
      </c>
      <c r="P23" s="83">
        <v>30181</v>
      </c>
      <c r="Q23" s="83">
        <v>1</v>
      </c>
      <c r="R23" s="83">
        <v>18</v>
      </c>
      <c r="S23" s="56" t="s">
        <v>154</v>
      </c>
      <c r="T23" s="85" t="s">
        <v>155</v>
      </c>
      <c r="U23" s="56"/>
      <c r="V23" s="39">
        <v>50</v>
      </c>
      <c r="W23" s="56">
        <v>2</v>
      </c>
      <c r="X23" s="53">
        <v>100</v>
      </c>
      <c r="Y23" s="56">
        <v>1</v>
      </c>
      <c r="Z23" s="56">
        <v>3018</v>
      </c>
      <c r="AA23" s="56"/>
      <c r="AB23" s="86"/>
      <c r="AC23" s="67" t="s">
        <v>156</v>
      </c>
      <c r="AD23" s="67">
        <v>10000</v>
      </c>
    </row>
    <row r="24" s="67" customFormat="1" spans="1:30">
      <c r="A24" s="83">
        <v>3019</v>
      </c>
      <c r="B24" s="83">
        <v>1</v>
      </c>
      <c r="C24" s="83">
        <v>0</v>
      </c>
      <c r="D24" s="83" t="s">
        <v>157</v>
      </c>
      <c r="E24" s="84">
        <v>0</v>
      </c>
      <c r="F24" s="83">
        <v>19</v>
      </c>
      <c r="G24" s="83">
        <v>6</v>
      </c>
      <c r="H24" s="83">
        <v>30190</v>
      </c>
      <c r="I24" s="83">
        <v>30191</v>
      </c>
      <c r="J24" s="83"/>
      <c r="K24" s="56"/>
      <c r="L24" s="56"/>
      <c r="M24" s="56"/>
      <c r="N24" s="56"/>
      <c r="O24" s="83">
        <v>30190</v>
      </c>
      <c r="P24" s="83">
        <v>30192</v>
      </c>
      <c r="Q24" s="83">
        <v>1</v>
      </c>
      <c r="R24" s="83">
        <v>19</v>
      </c>
      <c r="S24" s="56" t="s">
        <v>158</v>
      </c>
      <c r="T24" s="85" t="s">
        <v>159</v>
      </c>
      <c r="U24" s="56"/>
      <c r="V24" s="39">
        <v>50</v>
      </c>
      <c r="W24" s="56">
        <v>3</v>
      </c>
      <c r="X24" s="53">
        <v>100</v>
      </c>
      <c r="Y24" s="56">
        <v>1</v>
      </c>
      <c r="Z24" s="56">
        <v>3019</v>
      </c>
      <c r="AA24" s="56"/>
      <c r="AB24" s="86"/>
      <c r="AC24" s="67">
        <v>6</v>
      </c>
      <c r="AD24" s="67">
        <v>10000</v>
      </c>
    </row>
    <row r="25" s="67" customFormat="1" spans="1:30">
      <c r="A25" s="83">
        <v>3020</v>
      </c>
      <c r="B25" s="83">
        <v>1</v>
      </c>
      <c r="C25" s="83">
        <v>1</v>
      </c>
      <c r="D25" s="83" t="s">
        <v>160</v>
      </c>
      <c r="E25" s="84">
        <v>8000</v>
      </c>
      <c r="F25" s="83">
        <v>20</v>
      </c>
      <c r="G25" s="83">
        <v>6</v>
      </c>
      <c r="H25" s="83">
        <v>30200</v>
      </c>
      <c r="I25" s="83">
        <v>30201</v>
      </c>
      <c r="J25" s="83">
        <v>8000</v>
      </c>
      <c r="K25" s="43"/>
      <c r="L25" s="43"/>
      <c r="M25" s="43"/>
      <c r="N25" s="43"/>
      <c r="O25" s="83">
        <v>30201</v>
      </c>
      <c r="P25" s="83" t="s">
        <v>161</v>
      </c>
      <c r="Q25" s="83">
        <v>1</v>
      </c>
      <c r="R25" s="83">
        <v>20</v>
      </c>
      <c r="S25" t="s">
        <v>162</v>
      </c>
      <c r="T25" s="85" t="s">
        <v>163</v>
      </c>
      <c r="U25" s="56"/>
      <c r="V25" s="39">
        <v>50</v>
      </c>
      <c r="W25" s="56">
        <v>4</v>
      </c>
      <c r="X25" s="53">
        <v>100</v>
      </c>
      <c r="Y25" s="56">
        <v>1</v>
      </c>
      <c r="Z25" s="56">
        <v>3020</v>
      </c>
      <c r="AA25" s="56"/>
      <c r="AB25" s="86"/>
      <c r="AC25" s="67">
        <v>3</v>
      </c>
      <c r="AD25" s="67">
        <v>10000</v>
      </c>
    </row>
    <row r="26" s="67" customFormat="1" spans="1:30">
      <c r="A26" s="83">
        <v>3021</v>
      </c>
      <c r="B26" s="83">
        <v>1</v>
      </c>
      <c r="C26" s="83">
        <v>0</v>
      </c>
      <c r="D26" s="83" t="s">
        <v>164</v>
      </c>
      <c r="E26" s="84" t="s">
        <v>98</v>
      </c>
      <c r="F26" s="83">
        <v>21</v>
      </c>
      <c r="G26" s="83">
        <v>6</v>
      </c>
      <c r="H26" s="83">
        <v>30210</v>
      </c>
      <c r="I26" s="83" t="s">
        <v>165</v>
      </c>
      <c r="J26" s="83">
        <v>-1</v>
      </c>
      <c r="K26" s="43">
        <v>5</v>
      </c>
      <c r="L26" s="43">
        <v>2500</v>
      </c>
      <c r="M26" s="43" t="s">
        <v>99</v>
      </c>
      <c r="N26" s="43" t="s">
        <v>100</v>
      </c>
      <c r="O26" s="83">
        <v>30211</v>
      </c>
      <c r="P26" s="83" t="s">
        <v>166</v>
      </c>
      <c r="Q26" s="83">
        <v>1</v>
      </c>
      <c r="R26" s="83">
        <v>21</v>
      </c>
      <c r="S26" s="56" t="s">
        <v>167</v>
      </c>
      <c r="T26" s="85" t="s">
        <v>168</v>
      </c>
      <c r="U26" s="56"/>
      <c r="V26" s="39">
        <v>50</v>
      </c>
      <c r="W26" s="56">
        <v>5</v>
      </c>
      <c r="X26" s="53">
        <v>100</v>
      </c>
      <c r="Y26" s="56">
        <v>1</v>
      </c>
      <c r="Z26" s="56">
        <v>3021</v>
      </c>
      <c r="AA26" s="56"/>
      <c r="AB26" s="86"/>
      <c r="AC26" s="67">
        <v>999</v>
      </c>
      <c r="AD26" s="67">
        <v>10000</v>
      </c>
    </row>
    <row r="27" s="20" customFormat="1" spans="1:30">
      <c r="A27" s="87">
        <v>3022</v>
      </c>
      <c r="B27" s="87">
        <v>0</v>
      </c>
      <c r="C27" s="87">
        <v>0</v>
      </c>
      <c r="D27" s="87" t="s">
        <v>169</v>
      </c>
      <c r="E27" s="87"/>
      <c r="F27" s="87">
        <v>22</v>
      </c>
      <c r="G27" s="87">
        <v>6</v>
      </c>
      <c r="H27" s="87">
        <v>30220</v>
      </c>
      <c r="I27" s="87">
        <v>30221</v>
      </c>
      <c r="J27" s="87"/>
      <c r="K27" s="53"/>
      <c r="L27" s="53"/>
      <c r="M27" s="53"/>
      <c r="N27" s="53"/>
      <c r="O27" s="87">
        <v>30221</v>
      </c>
      <c r="P27" s="87">
        <v>30221</v>
      </c>
      <c r="Q27" s="83">
        <v>1</v>
      </c>
      <c r="R27" s="87">
        <v>22</v>
      </c>
      <c r="S27" s="47" t="s">
        <v>95</v>
      </c>
      <c r="T27" s="88" t="s">
        <v>96</v>
      </c>
      <c r="U27" s="47"/>
      <c r="V27" s="39">
        <v>50</v>
      </c>
      <c r="W27" s="47"/>
      <c r="X27" s="53">
        <v>0</v>
      </c>
      <c r="Y27" s="47">
        <v>1</v>
      </c>
      <c r="Z27" s="47">
        <v>3001</v>
      </c>
      <c r="AA27" s="47"/>
      <c r="AB27" s="32"/>
      <c r="AC27" s="20">
        <v>1</v>
      </c>
    </row>
    <row r="28" s="68" customFormat="1" spans="1:30">
      <c r="A28" s="73">
        <v>3023</v>
      </c>
      <c r="B28" s="73">
        <v>0</v>
      </c>
      <c r="C28" s="73">
        <v>0</v>
      </c>
      <c r="D28" s="73" t="s">
        <v>170</v>
      </c>
      <c r="E28" s="73"/>
      <c r="F28" s="73">
        <v>23</v>
      </c>
      <c r="G28" s="73">
        <v>6</v>
      </c>
      <c r="H28" s="73">
        <v>30230</v>
      </c>
      <c r="I28" s="73">
        <v>30231</v>
      </c>
      <c r="J28" s="73"/>
      <c r="K28" s="53"/>
      <c r="L28" s="53"/>
      <c r="M28" s="53"/>
      <c r="N28" s="53"/>
      <c r="O28" s="73">
        <v>30231</v>
      </c>
      <c r="P28" s="73" t="s">
        <v>171</v>
      </c>
      <c r="Q28" s="73">
        <v>1</v>
      </c>
      <c r="R28" s="73">
        <v>23</v>
      </c>
      <c r="S28" s="53" t="s">
        <v>172</v>
      </c>
      <c r="T28" s="90" t="s">
        <v>96</v>
      </c>
      <c r="U28" s="53"/>
      <c r="V28" s="53">
        <v>50</v>
      </c>
      <c r="W28" s="53">
        <v>4</v>
      </c>
      <c r="X28" s="53">
        <v>0</v>
      </c>
      <c r="Y28" s="53">
        <v>1</v>
      </c>
      <c r="Z28" s="53">
        <v>3023</v>
      </c>
      <c r="AA28" s="53"/>
      <c r="AB28" s="30"/>
      <c r="AC28" s="68">
        <v>1</v>
      </c>
    </row>
    <row r="29" spans="1:30">
      <c r="A29" s="70">
        <v>3024</v>
      </c>
      <c r="B29" s="70">
        <v>1</v>
      </c>
      <c r="C29" s="70">
        <v>1</v>
      </c>
      <c r="D29" s="70" t="s">
        <v>170</v>
      </c>
      <c r="E29" s="84" t="s">
        <v>98</v>
      </c>
      <c r="F29" s="70">
        <v>24</v>
      </c>
      <c r="G29" s="70">
        <v>6</v>
      </c>
      <c r="H29" s="70">
        <v>30230</v>
      </c>
      <c r="I29" s="70">
        <v>30231</v>
      </c>
      <c r="J29" s="83">
        <v>-1</v>
      </c>
      <c r="K29" s="43">
        <v>5</v>
      </c>
      <c r="L29" s="43">
        <v>2500</v>
      </c>
      <c r="M29" s="43" t="s">
        <v>99</v>
      </c>
      <c r="N29" s="43" t="s">
        <v>100</v>
      </c>
      <c r="O29" s="70">
        <v>30231</v>
      </c>
      <c r="P29" s="70">
        <v>30241</v>
      </c>
      <c r="Q29" s="83">
        <v>1</v>
      </c>
      <c r="R29" s="70">
        <v>24</v>
      </c>
      <c r="S29" s="56" t="s">
        <v>173</v>
      </c>
      <c r="T29" s="85" t="s">
        <v>174</v>
      </c>
      <c r="U29" s="39"/>
      <c r="V29" s="39">
        <v>50</v>
      </c>
      <c r="W29" s="39">
        <v>3</v>
      </c>
      <c r="X29" s="53">
        <v>100</v>
      </c>
      <c r="Y29" s="39">
        <v>1</v>
      </c>
      <c r="Z29" s="39">
        <v>3024</v>
      </c>
      <c r="AA29" s="39"/>
      <c r="AB29" s="25"/>
      <c r="AC29" s="67" t="s">
        <v>175</v>
      </c>
      <c r="AD29" s="67">
        <v>10000</v>
      </c>
    </row>
    <row r="30" s="69" customFormat="1" spans="1:30">
      <c r="A30" s="76">
        <v>3025</v>
      </c>
      <c r="B30" s="76">
        <v>1</v>
      </c>
      <c r="C30" s="76">
        <v>1</v>
      </c>
      <c r="D30" s="76" t="s">
        <v>176</v>
      </c>
      <c r="E30" s="91" t="s">
        <v>142</v>
      </c>
      <c r="F30" s="76">
        <v>25</v>
      </c>
      <c r="G30" s="76">
        <v>6</v>
      </c>
      <c r="H30" s="76">
        <v>30250</v>
      </c>
      <c r="I30" s="76">
        <v>30251</v>
      </c>
      <c r="J30" s="76">
        <v>-1</v>
      </c>
      <c r="K30" s="92">
        <v>3025</v>
      </c>
      <c r="L30" s="92">
        <v>1</v>
      </c>
      <c r="M30" s="92" t="s">
        <v>177</v>
      </c>
      <c r="N30" s="92"/>
      <c r="O30" s="76">
        <v>30251</v>
      </c>
      <c r="P30" s="76">
        <v>30251</v>
      </c>
      <c r="Q30" s="76">
        <v>1</v>
      </c>
      <c r="R30" s="76">
        <v>25</v>
      </c>
      <c r="S30" s="92" t="s">
        <v>178</v>
      </c>
      <c r="T30" s="93" t="s">
        <v>179</v>
      </c>
      <c r="U30" s="92"/>
      <c r="V30" s="92">
        <v>50</v>
      </c>
      <c r="W30" s="92">
        <v>2</v>
      </c>
      <c r="X30" s="92">
        <v>100</v>
      </c>
      <c r="Y30" s="92">
        <v>1</v>
      </c>
      <c r="Z30" s="92">
        <v>3025</v>
      </c>
      <c r="AA30" s="92"/>
      <c r="AB30" s="94"/>
      <c r="AC30" s="69" t="s">
        <v>180</v>
      </c>
      <c r="AD30" s="69">
        <v>11000</v>
      </c>
    </row>
    <row r="31" spans="1:30">
      <c r="A31" s="70">
        <v>3026</v>
      </c>
      <c r="B31" s="70">
        <v>1</v>
      </c>
      <c r="C31" s="70">
        <v>0</v>
      </c>
      <c r="D31" s="70" t="s">
        <v>181</v>
      </c>
      <c r="E31" s="95">
        <v>4000</v>
      </c>
      <c r="F31" s="70">
        <v>26</v>
      </c>
      <c r="G31" s="70">
        <v>6</v>
      </c>
      <c r="H31" s="70">
        <v>30260</v>
      </c>
      <c r="I31" s="70" t="s">
        <v>182</v>
      </c>
      <c r="J31" s="83">
        <v>4000</v>
      </c>
      <c r="K31" s="43"/>
      <c r="L31" s="43"/>
      <c r="M31" s="43"/>
      <c r="N31" s="43"/>
      <c r="O31" s="70">
        <v>30261</v>
      </c>
      <c r="P31" s="70">
        <v>30261</v>
      </c>
      <c r="Q31" s="83">
        <v>1</v>
      </c>
      <c r="R31" s="70">
        <v>26</v>
      </c>
      <c r="S31" s="56" t="s">
        <v>183</v>
      </c>
      <c r="T31" s="85" t="s">
        <v>184</v>
      </c>
      <c r="U31" s="39"/>
      <c r="V31" s="39">
        <v>50</v>
      </c>
      <c r="W31" s="56">
        <v>1</v>
      </c>
      <c r="X31" s="53">
        <v>100</v>
      </c>
      <c r="Y31" s="56">
        <v>1</v>
      </c>
      <c r="Z31" s="56">
        <v>3026</v>
      </c>
      <c r="AA31" s="56"/>
      <c r="AB31" s="86"/>
      <c r="AC31" s="67" t="s">
        <v>185</v>
      </c>
      <c r="AD31" s="67">
        <v>10000</v>
      </c>
    </row>
    <row r="32" s="20" customFormat="1" spans="1:30">
      <c r="A32" s="87">
        <v>3027</v>
      </c>
      <c r="B32" s="87">
        <v>0</v>
      </c>
      <c r="C32" s="87">
        <v>0</v>
      </c>
      <c r="D32" s="87" t="s">
        <v>186</v>
      </c>
      <c r="E32" s="87"/>
      <c r="F32" s="87">
        <v>27</v>
      </c>
      <c r="G32" s="87">
        <v>6</v>
      </c>
      <c r="H32" s="87">
        <v>30270</v>
      </c>
      <c r="I32" s="87">
        <v>30271</v>
      </c>
      <c r="J32" s="87"/>
      <c r="K32" s="53"/>
      <c r="L32" s="53"/>
      <c r="M32" s="53"/>
      <c r="N32" s="53"/>
      <c r="O32" s="87">
        <v>30271</v>
      </c>
      <c r="P32" s="87">
        <v>30271</v>
      </c>
      <c r="Q32" s="83">
        <v>1</v>
      </c>
      <c r="R32" s="87">
        <v>27</v>
      </c>
      <c r="S32" s="47" t="s">
        <v>95</v>
      </c>
      <c r="T32" s="88" t="s">
        <v>96</v>
      </c>
      <c r="U32" s="47"/>
      <c r="V32" s="39">
        <v>50</v>
      </c>
      <c r="W32" s="47"/>
      <c r="X32" s="53">
        <v>0</v>
      </c>
      <c r="Y32" s="47">
        <v>1</v>
      </c>
      <c r="Z32" s="47">
        <v>3001</v>
      </c>
      <c r="AA32" s="47"/>
      <c r="AB32" s="32"/>
      <c r="AC32" s="20">
        <v>1</v>
      </c>
    </row>
    <row r="33" s="67" customFormat="1" spans="1:30">
      <c r="A33" s="83">
        <v>3028</v>
      </c>
      <c r="B33" s="83">
        <v>1</v>
      </c>
      <c r="C33" s="83">
        <v>0</v>
      </c>
      <c r="D33" s="83" t="s">
        <v>187</v>
      </c>
      <c r="E33" s="84" t="s">
        <v>98</v>
      </c>
      <c r="F33" s="83">
        <v>28</v>
      </c>
      <c r="G33" s="83">
        <v>6</v>
      </c>
      <c r="H33" s="83">
        <v>30280</v>
      </c>
      <c r="I33" s="83" t="s">
        <v>188</v>
      </c>
      <c r="J33" s="83">
        <v>-1</v>
      </c>
      <c r="K33" s="43">
        <v>5</v>
      </c>
      <c r="L33" s="43">
        <v>2500</v>
      </c>
      <c r="M33" s="43" t="s">
        <v>99</v>
      </c>
      <c r="N33" s="43" t="s">
        <v>100</v>
      </c>
      <c r="O33" s="83">
        <v>30281</v>
      </c>
      <c r="P33" s="83">
        <v>30281</v>
      </c>
      <c r="Q33" s="83">
        <v>1</v>
      </c>
      <c r="R33" s="83">
        <v>28</v>
      </c>
      <c r="S33" s="56" t="s">
        <v>189</v>
      </c>
      <c r="T33" s="85" t="s">
        <v>190</v>
      </c>
      <c r="U33" s="56"/>
      <c r="V33" s="39">
        <v>50</v>
      </c>
      <c r="W33" s="56">
        <v>1.5</v>
      </c>
      <c r="X33" s="53">
        <v>100</v>
      </c>
      <c r="Y33" s="56">
        <v>1</v>
      </c>
      <c r="Z33" s="56">
        <v>3028</v>
      </c>
      <c r="AA33" s="56"/>
      <c r="AB33" s="86"/>
      <c r="AC33" s="67">
        <v>9</v>
      </c>
      <c r="AD33" s="67">
        <v>10000</v>
      </c>
    </row>
    <row r="34" s="20" customFormat="1" spans="1:30">
      <c r="A34" s="87">
        <v>3029</v>
      </c>
      <c r="B34" s="87">
        <v>0</v>
      </c>
      <c r="C34" s="87">
        <v>0</v>
      </c>
      <c r="D34" s="87" t="s">
        <v>191</v>
      </c>
      <c r="E34" s="87"/>
      <c r="F34" s="87">
        <v>29</v>
      </c>
      <c r="G34" s="87">
        <v>6</v>
      </c>
      <c r="H34" s="87">
        <v>30290</v>
      </c>
      <c r="I34" s="87">
        <v>30291</v>
      </c>
      <c r="J34" s="87"/>
      <c r="K34" s="53"/>
      <c r="L34" s="53"/>
      <c r="M34" s="53"/>
      <c r="N34" s="53"/>
      <c r="O34" s="87">
        <v>30291</v>
      </c>
      <c r="P34" s="87">
        <v>30291</v>
      </c>
      <c r="Q34" s="83">
        <v>1</v>
      </c>
      <c r="R34" s="87">
        <v>29</v>
      </c>
      <c r="S34" s="47" t="s">
        <v>95</v>
      </c>
      <c r="T34" s="88" t="s">
        <v>96</v>
      </c>
      <c r="U34" s="47"/>
      <c r="V34" s="39">
        <v>50</v>
      </c>
      <c r="W34" s="47"/>
      <c r="X34" s="53">
        <v>0</v>
      </c>
      <c r="Y34" s="47">
        <v>1</v>
      </c>
      <c r="Z34" s="47">
        <v>3001</v>
      </c>
      <c r="AA34" s="47"/>
      <c r="AB34" s="32"/>
      <c r="AC34" s="20">
        <v>1</v>
      </c>
    </row>
    <row r="35" s="67" customFormat="1" spans="1:30">
      <c r="A35" s="83">
        <v>3030</v>
      </c>
      <c r="B35" s="83">
        <v>1</v>
      </c>
      <c r="C35" s="83">
        <v>0</v>
      </c>
      <c r="D35" s="83" t="s">
        <v>186</v>
      </c>
      <c r="E35" s="84">
        <v>0</v>
      </c>
      <c r="F35" s="83">
        <v>30</v>
      </c>
      <c r="G35" s="83">
        <v>6</v>
      </c>
      <c r="H35" s="83">
        <v>30300</v>
      </c>
      <c r="I35" s="83" t="s">
        <v>192</v>
      </c>
      <c r="J35" s="83"/>
      <c r="K35" s="56"/>
      <c r="L35" s="56"/>
      <c r="M35" s="56"/>
      <c r="N35" s="56"/>
      <c r="O35" s="83">
        <v>30301</v>
      </c>
      <c r="P35" s="83">
        <v>30301</v>
      </c>
      <c r="Q35" s="83">
        <v>1</v>
      </c>
      <c r="R35" s="83">
        <v>30</v>
      </c>
      <c r="S35" s="56" t="s">
        <v>193</v>
      </c>
      <c r="T35" s="85" t="s">
        <v>194</v>
      </c>
      <c r="U35" s="56"/>
      <c r="V35" s="39">
        <v>50</v>
      </c>
      <c r="W35" s="56">
        <v>2.5</v>
      </c>
      <c r="X35" s="53">
        <v>100</v>
      </c>
      <c r="Y35" s="56">
        <v>1</v>
      </c>
      <c r="Z35" s="56">
        <v>3030</v>
      </c>
      <c r="AA35" s="56"/>
      <c r="AB35" s="86"/>
      <c r="AC35" s="67" t="s">
        <v>156</v>
      </c>
      <c r="AD35" s="67">
        <v>10000</v>
      </c>
    </row>
    <row r="36" s="67" customFormat="1" spans="1:30">
      <c r="A36" s="83">
        <v>3031</v>
      </c>
      <c r="B36" s="83">
        <v>1</v>
      </c>
      <c r="C36" s="83">
        <v>0</v>
      </c>
      <c r="D36" s="83" t="s">
        <v>195</v>
      </c>
      <c r="E36" s="84">
        <v>0</v>
      </c>
      <c r="F36" s="83">
        <v>31</v>
      </c>
      <c r="G36" s="83">
        <v>6</v>
      </c>
      <c r="H36" s="83">
        <v>30310</v>
      </c>
      <c r="I36" s="83">
        <v>30311</v>
      </c>
      <c r="J36" s="83"/>
      <c r="K36" s="56"/>
      <c r="L36" s="56"/>
      <c r="M36" s="56"/>
      <c r="N36" s="56"/>
      <c r="O36" s="83">
        <v>30311</v>
      </c>
      <c r="P36" s="83">
        <v>30311</v>
      </c>
      <c r="Q36" s="83">
        <v>1</v>
      </c>
      <c r="R36" s="83">
        <v>31</v>
      </c>
      <c r="S36" s="56" t="s">
        <v>196</v>
      </c>
      <c r="T36" s="85" t="s">
        <v>197</v>
      </c>
      <c r="U36" s="56"/>
      <c r="V36" s="39">
        <v>50</v>
      </c>
      <c r="W36" s="56">
        <v>3.5</v>
      </c>
      <c r="X36" s="53">
        <v>100</v>
      </c>
      <c r="Y36" s="56">
        <v>1</v>
      </c>
      <c r="Z36" s="56">
        <v>3031</v>
      </c>
      <c r="AA36" s="56"/>
      <c r="AB36" s="86"/>
      <c r="AC36" s="67">
        <v>999</v>
      </c>
      <c r="AD36" s="67">
        <v>10000</v>
      </c>
    </row>
    <row r="37" s="20" customFormat="1" spans="1:30">
      <c r="A37" s="87">
        <v>3032</v>
      </c>
      <c r="B37" s="87">
        <v>0</v>
      </c>
      <c r="C37" s="87">
        <v>0</v>
      </c>
      <c r="D37" s="87" t="s">
        <v>164</v>
      </c>
      <c r="E37" s="87"/>
      <c r="F37" s="87">
        <v>32</v>
      </c>
      <c r="G37" s="87">
        <v>6</v>
      </c>
      <c r="H37" s="87">
        <v>30320</v>
      </c>
      <c r="I37" s="87">
        <v>30321</v>
      </c>
      <c r="J37" s="87"/>
      <c r="K37" s="53"/>
      <c r="L37" s="53"/>
      <c r="M37" s="53"/>
      <c r="N37" s="53"/>
      <c r="O37" s="87">
        <v>30321</v>
      </c>
      <c r="P37" s="87" t="s">
        <v>198</v>
      </c>
      <c r="Q37" s="83">
        <v>1</v>
      </c>
      <c r="R37" s="87">
        <v>32</v>
      </c>
      <c r="S37" s="47" t="s">
        <v>95</v>
      </c>
      <c r="T37" s="88" t="s">
        <v>96</v>
      </c>
      <c r="U37" s="47"/>
      <c r="V37" s="39">
        <v>50</v>
      </c>
      <c r="W37" s="47"/>
      <c r="X37" s="53">
        <v>0</v>
      </c>
      <c r="Y37" s="47">
        <v>1</v>
      </c>
      <c r="Z37" s="47">
        <v>3001</v>
      </c>
      <c r="AA37" s="47"/>
      <c r="AB37" s="32"/>
      <c r="AC37" s="20">
        <v>1</v>
      </c>
    </row>
    <row r="38" s="67" customFormat="1" spans="1:30">
      <c r="A38" s="83">
        <v>3033</v>
      </c>
      <c r="B38" s="83">
        <v>1</v>
      </c>
      <c r="C38" s="83">
        <v>0</v>
      </c>
      <c r="D38" s="83" t="s">
        <v>199</v>
      </c>
      <c r="E38" s="84" t="s">
        <v>98</v>
      </c>
      <c r="F38" s="83">
        <v>33</v>
      </c>
      <c r="G38" s="83">
        <v>6</v>
      </c>
      <c r="H38" s="83">
        <v>30330</v>
      </c>
      <c r="I38" s="83">
        <v>30331</v>
      </c>
      <c r="J38" s="83">
        <v>-1</v>
      </c>
      <c r="K38" s="43">
        <v>5</v>
      </c>
      <c r="L38" s="43">
        <v>2500</v>
      </c>
      <c r="M38" s="43" t="s">
        <v>99</v>
      </c>
      <c r="N38" s="43" t="s">
        <v>100</v>
      </c>
      <c r="O38" s="83">
        <v>30331</v>
      </c>
      <c r="P38" s="83" t="s">
        <v>200</v>
      </c>
      <c r="Q38" s="83">
        <v>1</v>
      </c>
      <c r="R38" s="83">
        <v>33</v>
      </c>
      <c r="S38" s="56" t="s">
        <v>201</v>
      </c>
      <c r="T38" s="85" t="s">
        <v>202</v>
      </c>
      <c r="U38" s="56"/>
      <c r="V38" s="39">
        <v>50</v>
      </c>
      <c r="W38" s="56">
        <v>4.5</v>
      </c>
      <c r="X38" s="53">
        <v>0</v>
      </c>
      <c r="Y38" s="56">
        <v>1</v>
      </c>
      <c r="Z38" s="56">
        <v>3033</v>
      </c>
      <c r="AA38" s="56"/>
      <c r="AB38" s="86"/>
      <c r="AC38" s="67" t="s">
        <v>175</v>
      </c>
      <c r="AD38" s="67">
        <v>10000</v>
      </c>
    </row>
    <row r="39" s="67" customFormat="1" spans="1:30">
      <c r="A39" s="83">
        <v>3034</v>
      </c>
      <c r="B39" s="83">
        <v>1</v>
      </c>
      <c r="C39" s="83">
        <v>0</v>
      </c>
      <c r="D39" s="83" t="s">
        <v>191</v>
      </c>
      <c r="E39" s="84" t="s">
        <v>203</v>
      </c>
      <c r="F39" s="83">
        <v>34</v>
      </c>
      <c r="G39" s="83">
        <v>6</v>
      </c>
      <c r="H39" s="83">
        <v>30340</v>
      </c>
      <c r="I39" s="83" t="s">
        <v>204</v>
      </c>
      <c r="J39" s="83">
        <v>-1</v>
      </c>
      <c r="K39" s="56">
        <v>3034</v>
      </c>
      <c r="L39" s="56">
        <v>1</v>
      </c>
      <c r="M39" s="56" t="s">
        <v>205</v>
      </c>
      <c r="N39" s="56"/>
      <c r="O39" s="83">
        <v>30341</v>
      </c>
      <c r="P39" s="83">
        <v>30341</v>
      </c>
      <c r="Q39" s="83">
        <v>1</v>
      </c>
      <c r="R39" s="83">
        <v>34</v>
      </c>
      <c r="S39" s="56" t="s">
        <v>206</v>
      </c>
      <c r="T39" s="85" t="s">
        <v>207</v>
      </c>
      <c r="U39" s="56"/>
      <c r="V39" s="39">
        <v>50</v>
      </c>
      <c r="W39" s="56">
        <v>4.5</v>
      </c>
      <c r="X39" s="53">
        <v>100</v>
      </c>
      <c r="Y39" s="56">
        <v>1</v>
      </c>
      <c r="Z39" s="56">
        <v>3034</v>
      </c>
      <c r="AA39" s="56"/>
      <c r="AB39" s="86"/>
      <c r="AC39" s="67">
        <v>999</v>
      </c>
      <c r="AD39" s="67">
        <v>10000</v>
      </c>
    </row>
    <row r="40" s="68" customFormat="1" spans="1:30">
      <c r="A40" s="73">
        <v>3035</v>
      </c>
      <c r="B40" s="73">
        <v>0</v>
      </c>
      <c r="C40" s="73">
        <v>0</v>
      </c>
      <c r="D40" s="73" t="s">
        <v>208</v>
      </c>
      <c r="E40" s="73"/>
      <c r="F40" s="73">
        <v>35</v>
      </c>
      <c r="G40" s="73">
        <v>6</v>
      </c>
      <c r="H40" s="73">
        <v>30350</v>
      </c>
      <c r="I40" s="73" t="s">
        <v>209</v>
      </c>
      <c r="J40" s="73"/>
      <c r="K40" s="53"/>
      <c r="L40" s="53"/>
      <c r="M40" s="53"/>
      <c r="N40" s="53"/>
      <c r="O40" s="73">
        <v>30351</v>
      </c>
      <c r="P40" s="73">
        <v>30351</v>
      </c>
      <c r="Q40" s="73">
        <v>1</v>
      </c>
      <c r="R40" s="73">
        <v>35</v>
      </c>
      <c r="S40" s="53" t="s">
        <v>95</v>
      </c>
      <c r="T40" s="90" t="s">
        <v>96</v>
      </c>
      <c r="U40" s="53"/>
      <c r="V40" s="53">
        <v>50</v>
      </c>
      <c r="W40" s="53"/>
      <c r="X40" s="53">
        <v>0</v>
      </c>
      <c r="Y40" s="53">
        <v>1</v>
      </c>
      <c r="Z40" s="53">
        <v>3001</v>
      </c>
      <c r="AA40" s="53"/>
      <c r="AB40" s="30"/>
      <c r="AC40" s="68">
        <v>1</v>
      </c>
    </row>
    <row r="41" s="67" customFormat="1" spans="1:30">
      <c r="A41" s="83">
        <v>3036</v>
      </c>
      <c r="B41" s="83">
        <v>1</v>
      </c>
      <c r="C41" s="83">
        <v>1</v>
      </c>
      <c r="D41" s="83" t="s">
        <v>210</v>
      </c>
      <c r="E41" s="84">
        <v>4000</v>
      </c>
      <c r="F41" s="83">
        <v>36</v>
      </c>
      <c r="G41" s="83">
        <v>6</v>
      </c>
      <c r="H41" s="83">
        <v>30360</v>
      </c>
      <c r="I41" s="83" t="s">
        <v>211</v>
      </c>
      <c r="J41" s="83">
        <v>4000</v>
      </c>
      <c r="K41" s="43"/>
      <c r="L41" s="43"/>
      <c r="M41" s="43"/>
      <c r="N41" s="43"/>
      <c r="O41" s="83">
        <v>30361</v>
      </c>
      <c r="P41" s="83" t="s">
        <v>211</v>
      </c>
      <c r="Q41" s="83">
        <v>1</v>
      </c>
      <c r="R41" s="83">
        <v>36</v>
      </c>
      <c r="S41" s="56" t="s">
        <v>212</v>
      </c>
      <c r="T41" s="85" t="s">
        <v>213</v>
      </c>
      <c r="U41" s="56"/>
      <c r="V41" s="39">
        <v>50</v>
      </c>
      <c r="W41" s="56">
        <v>3.5</v>
      </c>
      <c r="X41" s="53">
        <v>100</v>
      </c>
      <c r="Y41" s="56">
        <v>1</v>
      </c>
      <c r="Z41" s="56">
        <v>3036</v>
      </c>
      <c r="AA41" s="56"/>
      <c r="AB41" s="86"/>
      <c r="AC41" s="67" t="s">
        <v>214</v>
      </c>
      <c r="AD41" s="67">
        <v>10000</v>
      </c>
    </row>
    <row r="42" s="20" customFormat="1" spans="1:30">
      <c r="A42" s="87">
        <v>3037</v>
      </c>
      <c r="B42" s="87">
        <v>0</v>
      </c>
      <c r="C42" s="87">
        <v>0</v>
      </c>
      <c r="D42" s="87" t="s">
        <v>136</v>
      </c>
      <c r="E42" s="87"/>
      <c r="F42" s="87">
        <v>37</v>
      </c>
      <c r="G42" s="87">
        <v>6</v>
      </c>
      <c r="H42" s="87">
        <v>30370</v>
      </c>
      <c r="I42" s="87">
        <v>30371</v>
      </c>
      <c r="J42" s="87"/>
      <c r="K42" s="53"/>
      <c r="L42" s="53"/>
      <c r="M42" s="53"/>
      <c r="N42" s="53"/>
      <c r="O42" s="87">
        <v>30371</v>
      </c>
      <c r="P42" s="87">
        <v>30371</v>
      </c>
      <c r="Q42" s="83">
        <v>1</v>
      </c>
      <c r="R42" s="87">
        <v>37</v>
      </c>
      <c r="S42" s="47" t="s">
        <v>95</v>
      </c>
      <c r="T42" s="88" t="s">
        <v>96</v>
      </c>
      <c r="U42" s="47"/>
      <c r="V42" s="39">
        <v>50</v>
      </c>
      <c r="W42" s="47"/>
      <c r="X42" s="53">
        <v>0</v>
      </c>
      <c r="Y42" s="47">
        <v>1</v>
      </c>
      <c r="Z42" s="47">
        <v>3001</v>
      </c>
      <c r="AA42" s="47"/>
      <c r="AB42" s="32"/>
      <c r="AC42" s="20">
        <v>1</v>
      </c>
    </row>
    <row r="43" spans="1:30">
      <c r="A43" s="70">
        <v>3038</v>
      </c>
      <c r="B43" s="70">
        <v>1</v>
      </c>
      <c r="C43" s="70">
        <v>0</v>
      </c>
      <c r="D43" s="70" t="s">
        <v>215</v>
      </c>
      <c r="E43" s="95">
        <v>0</v>
      </c>
      <c r="F43" s="70">
        <v>38</v>
      </c>
      <c r="G43" s="70">
        <v>6</v>
      </c>
      <c r="H43" s="70">
        <v>30380</v>
      </c>
      <c r="I43" s="70">
        <v>30381</v>
      </c>
      <c r="J43" s="70"/>
      <c r="K43" s="56"/>
      <c r="L43" s="56"/>
      <c r="M43" s="56"/>
      <c r="N43" s="56"/>
      <c r="O43" s="70">
        <v>30381</v>
      </c>
      <c r="P43" s="70">
        <v>30381</v>
      </c>
      <c r="Q43" s="83">
        <v>1</v>
      </c>
      <c r="R43" s="70">
        <v>38</v>
      </c>
      <c r="S43" s="56" t="s">
        <v>216</v>
      </c>
      <c r="T43" s="85" t="s">
        <v>217</v>
      </c>
      <c r="U43" s="39"/>
      <c r="V43" s="39">
        <v>50</v>
      </c>
      <c r="W43" s="39">
        <v>2.5</v>
      </c>
      <c r="X43" s="53">
        <v>100</v>
      </c>
      <c r="Y43" s="39">
        <v>1</v>
      </c>
      <c r="Z43" s="39">
        <v>3038</v>
      </c>
      <c r="AA43" s="39"/>
      <c r="AB43" s="25" t="s">
        <v>218</v>
      </c>
      <c r="AC43" s="67">
        <v>999</v>
      </c>
      <c r="AD43" s="67">
        <v>10000</v>
      </c>
    </row>
    <row r="44" s="20" customFormat="1" spans="1:30">
      <c r="A44" s="96">
        <v>3039</v>
      </c>
      <c r="B44" s="96">
        <v>0</v>
      </c>
      <c r="C44" s="96">
        <v>0</v>
      </c>
      <c r="D44" s="96" t="s">
        <v>219</v>
      </c>
      <c r="E44" s="96"/>
      <c r="F44" s="96">
        <v>39</v>
      </c>
      <c r="G44" s="96">
        <v>6</v>
      </c>
      <c r="H44" s="96">
        <v>30390</v>
      </c>
      <c r="I44" s="96">
        <v>30391</v>
      </c>
      <c r="J44" s="96"/>
      <c r="K44" s="97"/>
      <c r="L44" s="97"/>
      <c r="M44" s="97"/>
      <c r="N44" s="97"/>
      <c r="O44" s="96">
        <v>30391</v>
      </c>
      <c r="P44" s="96" t="s">
        <v>220</v>
      </c>
      <c r="Q44" s="83">
        <v>1</v>
      </c>
      <c r="R44" s="96">
        <v>39</v>
      </c>
      <c r="S44" s="98" t="s">
        <v>95</v>
      </c>
      <c r="T44" s="99" t="s">
        <v>96</v>
      </c>
      <c r="U44" s="98"/>
      <c r="V44" s="39">
        <v>50</v>
      </c>
      <c r="W44" s="47"/>
      <c r="X44" s="53">
        <v>0</v>
      </c>
      <c r="Y44" s="47">
        <v>1</v>
      </c>
      <c r="Z44" s="47">
        <v>3001</v>
      </c>
      <c r="AA44" s="47"/>
      <c r="AB44" s="32"/>
      <c r="AC44" s="20">
        <v>1</v>
      </c>
    </row>
    <row r="45" s="70" customFormat="1" spans="1:30">
      <c r="A45" s="70">
        <v>3040</v>
      </c>
      <c r="B45" s="70">
        <v>1</v>
      </c>
      <c r="C45" s="70">
        <v>0</v>
      </c>
      <c r="D45" s="70" t="s">
        <v>221</v>
      </c>
      <c r="E45" s="95">
        <v>0</v>
      </c>
      <c r="F45" s="70">
        <v>40</v>
      </c>
      <c r="G45" s="70">
        <v>6</v>
      </c>
      <c r="H45" s="70">
        <v>30400</v>
      </c>
      <c r="I45" s="70" t="s">
        <v>222</v>
      </c>
      <c r="J45" s="83"/>
      <c r="K45" s="43"/>
      <c r="L45" s="43"/>
      <c r="M45" s="43"/>
      <c r="N45" s="43"/>
      <c r="O45" s="70">
        <v>30401</v>
      </c>
      <c r="P45" s="70">
        <v>30401</v>
      </c>
      <c r="Q45" s="83">
        <v>1</v>
      </c>
      <c r="R45" s="70">
        <v>40</v>
      </c>
      <c r="S45" s="56" t="s">
        <v>223</v>
      </c>
      <c r="T45" s="85" t="s">
        <v>224</v>
      </c>
      <c r="U45" s="10"/>
      <c r="V45" s="39">
        <v>50</v>
      </c>
      <c r="W45" s="10">
        <v>1.5</v>
      </c>
      <c r="X45" s="100">
        <v>100</v>
      </c>
      <c r="Y45" s="10">
        <v>1</v>
      </c>
      <c r="Z45" s="10">
        <v>3040</v>
      </c>
      <c r="AA45" s="10"/>
      <c r="AB45" s="10"/>
      <c r="AC45" s="67">
        <v>4</v>
      </c>
      <c r="AD45" s="67">
        <v>10000</v>
      </c>
    </row>
    <row r="46" s="70" customFormat="1" spans="1:30">
      <c r="A46" s="70">
        <v>3041</v>
      </c>
      <c r="B46" s="70">
        <v>1</v>
      </c>
      <c r="C46" s="70">
        <v>0</v>
      </c>
      <c r="D46" s="70" t="s">
        <v>133</v>
      </c>
      <c r="E46" s="95">
        <v>6000</v>
      </c>
      <c r="F46" s="70">
        <v>41</v>
      </c>
      <c r="G46" s="70">
        <v>6</v>
      </c>
      <c r="H46" s="70">
        <v>30410</v>
      </c>
      <c r="I46" s="70">
        <v>30411</v>
      </c>
      <c r="J46" s="101">
        <v>6000</v>
      </c>
      <c r="K46" s="48"/>
      <c r="L46" s="48"/>
      <c r="M46" s="48"/>
      <c r="N46" s="48"/>
      <c r="O46" s="70">
        <v>30411</v>
      </c>
      <c r="P46" s="70">
        <v>30411</v>
      </c>
      <c r="Q46" s="83">
        <v>1</v>
      </c>
      <c r="R46" s="70">
        <v>41</v>
      </c>
      <c r="S46" s="56" t="s">
        <v>225</v>
      </c>
      <c r="T46" s="85" t="s">
        <v>226</v>
      </c>
      <c r="U46" s="10"/>
      <c r="V46" s="39">
        <v>50</v>
      </c>
      <c r="W46" s="10">
        <v>4</v>
      </c>
      <c r="X46" s="100">
        <v>100</v>
      </c>
      <c r="Y46" s="10">
        <v>1</v>
      </c>
      <c r="Z46" s="10">
        <v>3041</v>
      </c>
      <c r="AA46" s="10"/>
      <c r="AB46" s="10"/>
      <c r="AC46" s="67" t="s">
        <v>227</v>
      </c>
      <c r="AD46" s="67">
        <v>10000</v>
      </c>
    </row>
    <row r="47" s="71" customFormat="1" spans="1:30">
      <c r="A47" s="71">
        <v>3042</v>
      </c>
      <c r="B47" s="71">
        <v>1</v>
      </c>
      <c r="C47" s="71">
        <v>0</v>
      </c>
      <c r="D47" s="71" t="s">
        <v>228</v>
      </c>
      <c r="E47" s="102">
        <v>6000</v>
      </c>
      <c r="F47" s="71">
        <v>42</v>
      </c>
      <c r="G47" s="71">
        <v>6</v>
      </c>
      <c r="H47" s="71">
        <v>30420</v>
      </c>
      <c r="I47" s="71">
        <v>30421</v>
      </c>
      <c r="J47" s="83">
        <v>6000</v>
      </c>
      <c r="K47" s="43"/>
      <c r="L47" s="43"/>
      <c r="M47" s="43"/>
      <c r="N47" s="43"/>
      <c r="O47" s="71">
        <v>30421</v>
      </c>
      <c r="P47" s="71">
        <v>30421</v>
      </c>
      <c r="Q47" s="83">
        <v>1</v>
      </c>
      <c r="R47" s="71">
        <v>42</v>
      </c>
      <c r="S47" s="56" t="s">
        <v>229</v>
      </c>
      <c r="T47" s="85" t="s">
        <v>230</v>
      </c>
      <c r="U47" s="71"/>
      <c r="V47" s="70">
        <v>50</v>
      </c>
      <c r="W47" s="71">
        <v>1</v>
      </c>
      <c r="X47" s="73">
        <v>100</v>
      </c>
      <c r="Y47" s="71">
        <v>1</v>
      </c>
      <c r="Z47" s="103">
        <v>3042</v>
      </c>
      <c r="AA47" s="103"/>
      <c r="AB47" s="103"/>
      <c r="AC47" s="67" t="s">
        <v>231</v>
      </c>
      <c r="AD47" s="67">
        <v>10000</v>
      </c>
    </row>
    <row r="48" s="68" customFormat="1" spans="1:30">
      <c r="A48" s="104">
        <v>3043</v>
      </c>
      <c r="B48" s="104">
        <v>0</v>
      </c>
      <c r="C48" s="104">
        <v>0</v>
      </c>
      <c r="D48" s="104" t="s">
        <v>114</v>
      </c>
      <c r="E48" s="105" t="s">
        <v>142</v>
      </c>
      <c r="F48" s="104">
        <v>8</v>
      </c>
      <c r="G48" s="104">
        <v>6</v>
      </c>
      <c r="H48" s="104">
        <v>30430</v>
      </c>
      <c r="I48" s="104" t="s">
        <v>232</v>
      </c>
      <c r="J48" s="73">
        <v>-1</v>
      </c>
      <c r="K48" s="53">
        <v>3043</v>
      </c>
      <c r="L48" s="53">
        <v>1</v>
      </c>
      <c r="M48" s="53" t="s">
        <v>233</v>
      </c>
      <c r="N48" s="97"/>
      <c r="O48" s="104">
        <v>30431</v>
      </c>
      <c r="P48" s="104">
        <v>30431</v>
      </c>
      <c r="Q48" s="73">
        <v>1</v>
      </c>
      <c r="R48" s="104">
        <v>8</v>
      </c>
      <c r="S48" s="53" t="s">
        <v>234</v>
      </c>
      <c r="T48" s="90" t="s">
        <v>235</v>
      </c>
      <c r="U48" s="97"/>
      <c r="V48" s="97">
        <v>50</v>
      </c>
      <c r="W48" s="97">
        <v>3</v>
      </c>
      <c r="X48" s="97">
        <v>100</v>
      </c>
      <c r="Y48" s="97">
        <v>1</v>
      </c>
      <c r="Z48" s="97">
        <v>3043</v>
      </c>
      <c r="AA48" s="97"/>
      <c r="AB48" s="30" t="s">
        <v>236</v>
      </c>
      <c r="AC48" s="68">
        <v>999</v>
      </c>
      <c r="AD48" s="68">
        <v>12500</v>
      </c>
    </row>
    <row r="49" s="70" customFormat="1" spans="1:30">
      <c r="A49" s="70">
        <v>3044</v>
      </c>
      <c r="B49" s="70">
        <v>1</v>
      </c>
      <c r="C49" s="70">
        <v>0</v>
      </c>
      <c r="D49" s="70" t="s">
        <v>237</v>
      </c>
      <c r="E49" s="95">
        <v>0</v>
      </c>
      <c r="F49" s="70">
        <v>0</v>
      </c>
      <c r="G49" s="70">
        <v>6</v>
      </c>
      <c r="H49" s="70">
        <v>30440</v>
      </c>
      <c r="I49" s="70">
        <v>30441</v>
      </c>
      <c r="J49" s="70"/>
      <c r="K49" s="56"/>
      <c r="L49" s="56"/>
      <c r="M49" s="56"/>
      <c r="N49" s="56"/>
      <c r="O49" s="70">
        <v>30441</v>
      </c>
      <c r="P49" s="70">
        <v>30441</v>
      </c>
      <c r="Q49" s="83">
        <v>1</v>
      </c>
      <c r="R49" s="70">
        <v>8</v>
      </c>
      <c r="S49" s="56" t="s">
        <v>238</v>
      </c>
      <c r="T49" s="85" t="s">
        <v>239</v>
      </c>
      <c r="U49" s="70"/>
      <c r="V49" s="70">
        <v>50</v>
      </c>
      <c r="W49" s="70">
        <v>0.5</v>
      </c>
      <c r="X49" s="73">
        <v>100</v>
      </c>
      <c r="Y49" s="70">
        <v>1</v>
      </c>
      <c r="Z49" s="10">
        <v>3044</v>
      </c>
      <c r="AA49" s="10"/>
      <c r="AB49" s="10"/>
      <c r="AC49" s="67">
        <v>999</v>
      </c>
      <c r="AD49" s="67">
        <v>10000</v>
      </c>
    </row>
    <row r="50" s="72" customFormat="1" spans="1:30">
      <c r="A50" s="72">
        <v>3045</v>
      </c>
      <c r="B50" s="72">
        <v>1</v>
      </c>
      <c r="C50" s="72">
        <v>0</v>
      </c>
      <c r="D50" s="72" t="s">
        <v>240</v>
      </c>
      <c r="E50" s="84">
        <v>6000</v>
      </c>
      <c r="F50" s="72">
        <v>43</v>
      </c>
      <c r="G50" s="72">
        <v>6</v>
      </c>
      <c r="H50" s="72">
        <v>30450</v>
      </c>
      <c r="J50" s="83">
        <v>6000</v>
      </c>
      <c r="K50" s="43"/>
      <c r="L50" s="43"/>
      <c r="M50" s="43"/>
      <c r="N50" s="43"/>
      <c r="O50" s="72">
        <v>30450</v>
      </c>
      <c r="P50" s="72">
        <v>30451</v>
      </c>
      <c r="Q50" s="83">
        <v>1</v>
      </c>
      <c r="R50" s="72">
        <v>8</v>
      </c>
      <c r="S50" s="43" t="s">
        <v>241</v>
      </c>
      <c r="T50" s="106" t="s">
        <v>242</v>
      </c>
      <c r="U50" s="72"/>
      <c r="V50" s="72">
        <v>50</v>
      </c>
      <c r="W50" s="72">
        <v>3</v>
      </c>
      <c r="X50" s="73">
        <v>0</v>
      </c>
      <c r="Y50" s="72">
        <v>1</v>
      </c>
      <c r="Z50" s="107">
        <v>3045</v>
      </c>
      <c r="AA50" s="107"/>
      <c r="AB50" s="107"/>
      <c r="AC50" s="67" t="s">
        <v>243</v>
      </c>
      <c r="AD50" s="67">
        <v>10000</v>
      </c>
    </row>
    <row r="51" s="73" customFormat="1" spans="1:30">
      <c r="A51" s="73">
        <v>3046</v>
      </c>
      <c r="B51" s="73">
        <v>0</v>
      </c>
      <c r="C51" s="73">
        <v>0</v>
      </c>
      <c r="D51" s="73" t="s">
        <v>244</v>
      </c>
      <c r="E51" s="105">
        <v>8000</v>
      </c>
      <c r="F51" s="73">
        <v>44</v>
      </c>
      <c r="G51" s="73">
        <v>6</v>
      </c>
      <c r="H51" s="73">
        <v>30460</v>
      </c>
      <c r="J51" s="73">
        <v>8000</v>
      </c>
      <c r="K51" s="53"/>
      <c r="L51" s="53"/>
      <c r="M51" s="53"/>
      <c r="N51" s="53"/>
      <c r="O51" s="73">
        <v>30460</v>
      </c>
      <c r="P51" s="73">
        <v>30461</v>
      </c>
      <c r="Q51" s="73">
        <v>1</v>
      </c>
      <c r="R51" s="73">
        <v>8</v>
      </c>
      <c r="S51" s="53" t="s">
        <v>245</v>
      </c>
      <c r="T51" s="90" t="s">
        <v>246</v>
      </c>
      <c r="U51" s="73"/>
      <c r="V51" s="73">
        <v>50</v>
      </c>
      <c r="W51" s="73">
        <v>3</v>
      </c>
      <c r="X51" s="73">
        <v>0</v>
      </c>
      <c r="Y51" s="73">
        <v>1</v>
      </c>
      <c r="Z51" s="100">
        <v>3046</v>
      </c>
      <c r="AA51" s="100"/>
      <c r="AB51" s="100"/>
      <c r="AC51" s="68">
        <v>1</v>
      </c>
      <c r="AD51" s="68"/>
    </row>
    <row r="52" s="74" customFormat="1" spans="1:30">
      <c r="A52" s="74">
        <v>3047</v>
      </c>
      <c r="B52" s="74">
        <v>1</v>
      </c>
      <c r="C52" s="74">
        <v>0</v>
      </c>
      <c r="D52" s="74" t="s">
        <v>247</v>
      </c>
      <c r="E52" s="108" t="s">
        <v>98</v>
      </c>
      <c r="F52" s="74">
        <v>45</v>
      </c>
      <c r="G52" s="74">
        <v>6</v>
      </c>
      <c r="H52" s="74">
        <v>30470</v>
      </c>
      <c r="I52" s="74"/>
      <c r="J52" s="83">
        <v>-1</v>
      </c>
      <c r="K52" s="43">
        <v>5</v>
      </c>
      <c r="L52" s="43">
        <v>2500</v>
      </c>
      <c r="M52" s="43" t="s">
        <v>99</v>
      </c>
      <c r="N52" s="43" t="s">
        <v>100</v>
      </c>
      <c r="O52" s="74">
        <v>30470</v>
      </c>
      <c r="P52" s="74">
        <v>30471</v>
      </c>
      <c r="Q52" s="83">
        <v>1</v>
      </c>
      <c r="R52" s="74">
        <v>8</v>
      </c>
      <c r="S52" s="66" t="s">
        <v>248</v>
      </c>
      <c r="T52" s="109" t="s">
        <v>249</v>
      </c>
      <c r="U52" s="74"/>
      <c r="V52" s="74">
        <v>50</v>
      </c>
      <c r="W52" s="74">
        <v>1</v>
      </c>
      <c r="X52" s="73">
        <v>0</v>
      </c>
      <c r="Y52" s="74">
        <v>1</v>
      </c>
      <c r="Z52" s="110">
        <v>3047</v>
      </c>
      <c r="AA52" s="107"/>
      <c r="AB52" s="107"/>
      <c r="AC52" s="67">
        <v>999</v>
      </c>
      <c r="AD52" s="67">
        <v>10000</v>
      </c>
    </row>
    <row r="53" s="73" customFormat="1" spans="1:30">
      <c r="A53" s="73">
        <v>3048</v>
      </c>
      <c r="B53" s="73">
        <v>0</v>
      </c>
      <c r="C53" s="73">
        <v>0</v>
      </c>
      <c r="D53" s="73" t="s">
        <v>250</v>
      </c>
      <c r="F53" s="73">
        <v>46</v>
      </c>
      <c r="G53" s="73">
        <v>6</v>
      </c>
      <c r="H53" s="73">
        <v>30480</v>
      </c>
      <c r="I53" s="73">
        <v>30481</v>
      </c>
      <c r="J53" s="73">
        <v>8000</v>
      </c>
      <c r="K53" s="53"/>
      <c r="L53" s="53"/>
      <c r="M53" s="53"/>
      <c r="N53" s="53"/>
      <c r="O53" s="73">
        <v>30480</v>
      </c>
      <c r="P53" s="73">
        <v>30481</v>
      </c>
      <c r="Q53" s="73">
        <v>1</v>
      </c>
      <c r="R53" s="73">
        <v>8</v>
      </c>
      <c r="S53" s="53" t="s">
        <v>251</v>
      </c>
      <c r="T53" s="90" t="s">
        <v>252</v>
      </c>
      <c r="U53" s="73"/>
      <c r="V53" s="73">
        <v>50</v>
      </c>
      <c r="W53" s="73">
        <v>3.5</v>
      </c>
      <c r="X53" s="73">
        <v>0</v>
      </c>
      <c r="Y53" s="73">
        <v>1</v>
      </c>
      <c r="Z53" s="100">
        <v>3048</v>
      </c>
      <c r="AA53" s="100"/>
      <c r="AB53" s="100"/>
      <c r="AC53" s="68">
        <v>1</v>
      </c>
      <c r="AD53" s="68"/>
    </row>
    <row r="54" s="74" customFormat="1" spans="1:30">
      <c r="A54" s="74">
        <v>3049</v>
      </c>
      <c r="B54" s="74">
        <v>1</v>
      </c>
      <c r="C54" s="74">
        <v>0</v>
      </c>
      <c r="D54" s="74" t="s">
        <v>253</v>
      </c>
      <c r="E54" s="108" t="s">
        <v>98</v>
      </c>
      <c r="F54" s="74">
        <v>47</v>
      </c>
      <c r="G54" s="74">
        <v>6</v>
      </c>
      <c r="H54" s="74">
        <v>30490</v>
      </c>
      <c r="I54" s="74"/>
      <c r="J54" s="70">
        <v>-1</v>
      </c>
      <c r="K54" s="43">
        <v>5</v>
      </c>
      <c r="L54" s="43">
        <v>2500</v>
      </c>
      <c r="M54" s="43" t="s">
        <v>99</v>
      </c>
      <c r="N54" s="43" t="s">
        <v>100</v>
      </c>
      <c r="O54" s="74">
        <v>30490</v>
      </c>
      <c r="P54" s="74">
        <v>30491</v>
      </c>
      <c r="Q54" s="83">
        <v>1</v>
      </c>
      <c r="R54" s="74">
        <v>8</v>
      </c>
      <c r="S54" s="66" t="s">
        <v>254</v>
      </c>
      <c r="T54" s="109" t="s">
        <v>255</v>
      </c>
      <c r="U54" s="74"/>
      <c r="V54" s="74">
        <v>50</v>
      </c>
      <c r="W54" s="74">
        <v>1</v>
      </c>
      <c r="X54" s="73">
        <v>0</v>
      </c>
      <c r="Y54" s="74">
        <v>1</v>
      </c>
      <c r="Z54" s="110">
        <v>3049</v>
      </c>
      <c r="AA54" s="107"/>
      <c r="AB54" s="107"/>
      <c r="AC54" s="67">
        <v>999</v>
      </c>
      <c r="AD54" s="67">
        <v>10000</v>
      </c>
    </row>
    <row r="55" s="75" customFormat="1" spans="1:30">
      <c r="A55" s="75">
        <v>3050</v>
      </c>
      <c r="B55" s="75">
        <v>1</v>
      </c>
      <c r="C55" s="75">
        <v>0</v>
      </c>
      <c r="D55" s="75" t="s">
        <v>208</v>
      </c>
      <c r="E55" s="111">
        <v>8000</v>
      </c>
      <c r="F55" s="75">
        <v>48</v>
      </c>
      <c r="G55" s="75">
        <v>6</v>
      </c>
      <c r="H55" s="75">
        <v>30500</v>
      </c>
      <c r="J55" s="75">
        <v>8000</v>
      </c>
      <c r="K55" s="112"/>
      <c r="L55" s="112"/>
      <c r="M55" s="112"/>
      <c r="N55" s="112"/>
      <c r="O55" s="75">
        <v>30500</v>
      </c>
      <c r="P55" s="75">
        <v>30501</v>
      </c>
      <c r="Q55" s="75">
        <v>1</v>
      </c>
      <c r="R55" s="75">
        <v>8</v>
      </c>
      <c r="S55" s="112" t="s">
        <v>256</v>
      </c>
      <c r="T55" s="113" t="s">
        <v>257</v>
      </c>
      <c r="U55" s="75"/>
      <c r="V55" s="75">
        <v>50</v>
      </c>
      <c r="W55" s="75">
        <v>2</v>
      </c>
      <c r="X55" s="75">
        <v>0</v>
      </c>
      <c r="Y55" s="75">
        <v>1</v>
      </c>
      <c r="Z55" s="114">
        <v>3050</v>
      </c>
      <c r="AA55" s="114"/>
      <c r="AB55" s="114"/>
      <c r="AC55" s="67">
        <v>3</v>
      </c>
      <c r="AD55" s="67">
        <v>10000</v>
      </c>
    </row>
    <row r="56" s="74" customFormat="1" spans="1:30">
      <c r="A56" s="74">
        <v>3051</v>
      </c>
      <c r="B56" s="74">
        <v>1</v>
      </c>
      <c r="C56" s="74">
        <v>0</v>
      </c>
      <c r="D56" s="74" t="s">
        <v>258</v>
      </c>
      <c r="E56" s="108">
        <v>4000</v>
      </c>
      <c r="F56" s="74">
        <v>49</v>
      </c>
      <c r="G56" s="74">
        <v>6</v>
      </c>
      <c r="H56" s="74">
        <v>30510</v>
      </c>
      <c r="I56" s="74">
        <v>30511</v>
      </c>
      <c r="J56" s="74">
        <v>4000</v>
      </c>
      <c r="K56" s="43"/>
      <c r="L56" s="43"/>
      <c r="M56" s="43"/>
      <c r="N56" s="43"/>
      <c r="O56" s="74">
        <v>30510</v>
      </c>
      <c r="P56" s="74">
        <v>30511</v>
      </c>
      <c r="Q56" s="83">
        <v>1</v>
      </c>
      <c r="R56" s="74">
        <v>8</v>
      </c>
      <c r="S56" s="66" t="s">
        <v>259</v>
      </c>
      <c r="T56" s="109" t="s">
        <v>260</v>
      </c>
      <c r="U56" s="74"/>
      <c r="V56" s="74">
        <v>50</v>
      </c>
      <c r="W56" s="74">
        <v>3</v>
      </c>
      <c r="X56" s="73">
        <v>0</v>
      </c>
      <c r="Y56" s="74">
        <v>1</v>
      </c>
      <c r="Z56" s="110">
        <v>3051</v>
      </c>
      <c r="AA56" s="107"/>
      <c r="AB56" s="107"/>
      <c r="AC56" s="67">
        <v>999</v>
      </c>
      <c r="AD56" s="67">
        <v>10000</v>
      </c>
    </row>
    <row r="57" s="74" customFormat="1" spans="1:30">
      <c r="A57" s="74">
        <v>3052</v>
      </c>
      <c r="B57" s="74">
        <v>1</v>
      </c>
      <c r="C57" s="74">
        <v>1</v>
      </c>
      <c r="D57" s="74" t="s">
        <v>261</v>
      </c>
      <c r="E57" s="108" t="s">
        <v>98</v>
      </c>
      <c r="F57" s="74">
        <v>50</v>
      </c>
      <c r="G57" s="74">
        <v>6</v>
      </c>
      <c r="H57" s="74">
        <v>30520</v>
      </c>
      <c r="I57" s="74" t="s">
        <v>262</v>
      </c>
      <c r="J57" s="83">
        <v>-1</v>
      </c>
      <c r="K57" s="43">
        <v>5</v>
      </c>
      <c r="L57" s="43">
        <v>2500</v>
      </c>
      <c r="M57" s="43" t="s">
        <v>99</v>
      </c>
      <c r="N57" s="43" t="s">
        <v>100</v>
      </c>
      <c r="O57" s="74">
        <v>30520</v>
      </c>
      <c r="P57" s="74">
        <v>30521</v>
      </c>
      <c r="Q57" s="83">
        <v>1</v>
      </c>
      <c r="R57" s="74">
        <v>8</v>
      </c>
      <c r="S57" s="66" t="s">
        <v>263</v>
      </c>
      <c r="T57" s="109" t="s">
        <v>264</v>
      </c>
      <c r="U57" s="74"/>
      <c r="V57" s="74">
        <v>50</v>
      </c>
      <c r="W57" s="74">
        <v>3</v>
      </c>
      <c r="X57" s="73">
        <v>0</v>
      </c>
      <c r="Y57" s="74">
        <v>1</v>
      </c>
      <c r="Z57" s="110">
        <v>3052</v>
      </c>
      <c r="AA57" s="107"/>
      <c r="AB57" s="107"/>
      <c r="AC57" s="67">
        <v>999</v>
      </c>
      <c r="AD57" s="67">
        <v>10000</v>
      </c>
    </row>
    <row r="58" s="74" customFormat="1" spans="1:30">
      <c r="A58" s="74">
        <v>3053</v>
      </c>
      <c r="B58" s="74">
        <v>1</v>
      </c>
      <c r="C58" s="74">
        <v>1</v>
      </c>
      <c r="D58" s="74" t="s">
        <v>265</v>
      </c>
      <c r="E58" s="108">
        <v>0</v>
      </c>
      <c r="F58" s="74">
        <v>51</v>
      </c>
      <c r="G58" s="74">
        <v>6</v>
      </c>
      <c r="H58" s="74">
        <v>30530</v>
      </c>
      <c r="I58" s="110" t="s">
        <v>266</v>
      </c>
      <c r="J58" s="74"/>
      <c r="K58" s="66"/>
      <c r="L58" s="66"/>
      <c r="M58" s="66"/>
      <c r="N58" s="66"/>
      <c r="O58" s="74">
        <v>30530</v>
      </c>
      <c r="P58" s="74">
        <v>30531</v>
      </c>
      <c r="Q58" s="83">
        <v>1</v>
      </c>
      <c r="R58" s="74">
        <v>8</v>
      </c>
      <c r="S58" s="66" t="s">
        <v>267</v>
      </c>
      <c r="T58" s="109" t="s">
        <v>268</v>
      </c>
      <c r="U58" s="74"/>
      <c r="V58" s="74">
        <v>50</v>
      </c>
      <c r="W58" s="74">
        <v>2</v>
      </c>
      <c r="X58" s="73">
        <v>0</v>
      </c>
      <c r="Y58" s="74">
        <v>1</v>
      </c>
      <c r="Z58" s="110">
        <v>3053</v>
      </c>
      <c r="AA58" s="107"/>
      <c r="AB58" s="107"/>
      <c r="AC58" s="67" t="s">
        <v>269</v>
      </c>
      <c r="AD58" s="67">
        <v>10000</v>
      </c>
    </row>
    <row r="59" s="74" customFormat="1" spans="1:30">
      <c r="A59" s="74">
        <v>3054</v>
      </c>
      <c r="B59" s="74">
        <v>1</v>
      </c>
      <c r="C59" s="74">
        <v>1</v>
      </c>
      <c r="D59" s="74" t="s">
        <v>270</v>
      </c>
      <c r="E59" s="108">
        <v>0</v>
      </c>
      <c r="F59" s="74">
        <v>52</v>
      </c>
      <c r="G59" s="74">
        <v>6</v>
      </c>
      <c r="H59" s="74">
        <v>30540</v>
      </c>
      <c r="I59" s="110" t="s">
        <v>271</v>
      </c>
      <c r="J59" s="74"/>
      <c r="K59" s="66"/>
      <c r="L59" s="66"/>
      <c r="M59" s="66"/>
      <c r="N59" s="66"/>
      <c r="O59" s="74">
        <v>30540</v>
      </c>
      <c r="P59" s="74">
        <v>30541</v>
      </c>
      <c r="Q59" s="83">
        <v>1</v>
      </c>
      <c r="R59" s="74">
        <v>8</v>
      </c>
      <c r="S59" s="66" t="s">
        <v>272</v>
      </c>
      <c r="T59" s="109" t="s">
        <v>273</v>
      </c>
      <c r="U59" s="74"/>
      <c r="V59" s="74">
        <v>70</v>
      </c>
      <c r="W59" s="74">
        <v>4</v>
      </c>
      <c r="X59" s="73">
        <v>0</v>
      </c>
      <c r="Y59" s="74">
        <v>1</v>
      </c>
      <c r="Z59" s="110">
        <v>3054</v>
      </c>
      <c r="AA59" s="107"/>
      <c r="AB59" s="107"/>
      <c r="AC59" s="67">
        <v>999</v>
      </c>
      <c r="AD59" s="67">
        <v>10000</v>
      </c>
    </row>
    <row r="60" s="74" customFormat="1" spans="1:30">
      <c r="A60" s="74">
        <v>3055</v>
      </c>
      <c r="B60" s="74">
        <v>1</v>
      </c>
      <c r="C60" s="74">
        <v>1</v>
      </c>
      <c r="D60" s="74" t="s">
        <v>274</v>
      </c>
      <c r="E60" s="108">
        <v>0</v>
      </c>
      <c r="F60" s="74">
        <v>53</v>
      </c>
      <c r="G60" s="74">
        <v>6</v>
      </c>
      <c r="H60" s="74">
        <v>30550</v>
      </c>
      <c r="I60" s="74">
        <v>30551</v>
      </c>
      <c r="J60" s="74"/>
      <c r="K60" s="66"/>
      <c r="L60" s="66"/>
      <c r="M60" s="66"/>
      <c r="N60" s="66"/>
      <c r="O60" s="74">
        <v>30550</v>
      </c>
      <c r="P60" s="74">
        <v>30551</v>
      </c>
      <c r="Q60" s="83">
        <v>1</v>
      </c>
      <c r="R60" s="74">
        <v>8</v>
      </c>
      <c r="S60" s="66" t="s">
        <v>275</v>
      </c>
      <c r="T60" s="109" t="s">
        <v>276</v>
      </c>
      <c r="U60" s="74"/>
      <c r="V60" s="74">
        <v>50</v>
      </c>
      <c r="W60" s="74">
        <v>3.5</v>
      </c>
      <c r="X60" s="73">
        <v>0</v>
      </c>
      <c r="Y60" s="74">
        <v>1</v>
      </c>
      <c r="Z60" s="110">
        <v>3055</v>
      </c>
      <c r="AA60" s="107"/>
      <c r="AB60" s="107"/>
      <c r="AC60" s="67">
        <v>999</v>
      </c>
      <c r="AD60" s="67">
        <v>10000</v>
      </c>
    </row>
    <row r="61" s="74" customFormat="1" spans="1:30">
      <c r="A61" s="74">
        <v>3056</v>
      </c>
      <c r="B61" s="74">
        <v>1</v>
      </c>
      <c r="C61" s="74">
        <v>1</v>
      </c>
      <c r="D61" s="74" t="s">
        <v>277</v>
      </c>
      <c r="E61" s="108" t="s">
        <v>98</v>
      </c>
      <c r="F61" s="74">
        <v>54</v>
      </c>
      <c r="G61" s="74">
        <v>6</v>
      </c>
      <c r="H61" s="74">
        <v>30560</v>
      </c>
      <c r="I61" s="74" t="s">
        <v>278</v>
      </c>
      <c r="J61" s="83">
        <v>-1</v>
      </c>
      <c r="K61" s="115">
        <v>5</v>
      </c>
      <c r="L61" s="43">
        <v>2500</v>
      </c>
      <c r="M61" s="43" t="s">
        <v>99</v>
      </c>
      <c r="N61" s="43" t="s">
        <v>100</v>
      </c>
      <c r="O61" s="74">
        <v>30560</v>
      </c>
      <c r="P61" s="74">
        <v>30561</v>
      </c>
      <c r="Q61" s="83">
        <v>1</v>
      </c>
      <c r="R61" s="74">
        <v>8</v>
      </c>
      <c r="S61" t="s">
        <v>279</v>
      </c>
      <c r="T61" s="109" t="s">
        <v>280</v>
      </c>
      <c r="U61" s="74"/>
      <c r="V61" s="74">
        <v>50</v>
      </c>
      <c r="W61" s="74">
        <v>5</v>
      </c>
      <c r="X61" s="73">
        <v>0</v>
      </c>
      <c r="Y61" s="74">
        <v>1</v>
      </c>
      <c r="Z61" s="110">
        <v>3056</v>
      </c>
      <c r="AA61" s="107"/>
      <c r="AB61" s="107"/>
      <c r="AC61" s="67" t="s">
        <v>140</v>
      </c>
      <c r="AD61" s="67">
        <v>10000</v>
      </c>
    </row>
    <row r="62" s="74" customFormat="1" spans="1:30">
      <c r="A62" s="74">
        <v>3057</v>
      </c>
      <c r="B62" s="74">
        <v>1</v>
      </c>
      <c r="C62" s="74">
        <v>0</v>
      </c>
      <c r="D62" s="74" t="s">
        <v>281</v>
      </c>
      <c r="E62" s="108" t="s">
        <v>98</v>
      </c>
      <c r="F62" s="74">
        <v>55</v>
      </c>
      <c r="G62" s="74">
        <v>6</v>
      </c>
      <c r="H62" s="74">
        <v>30570</v>
      </c>
      <c r="J62" s="83">
        <v>-1</v>
      </c>
      <c r="K62" s="115">
        <v>5</v>
      </c>
      <c r="L62" s="43">
        <v>2500</v>
      </c>
      <c r="M62" s="43" t="s">
        <v>99</v>
      </c>
      <c r="N62" s="43" t="s">
        <v>100</v>
      </c>
      <c r="O62" s="74">
        <v>30570</v>
      </c>
      <c r="P62" s="74">
        <v>30571</v>
      </c>
      <c r="Q62" s="83">
        <v>1</v>
      </c>
      <c r="R62" s="74">
        <v>8</v>
      </c>
      <c r="S62" s="66" t="s">
        <v>282</v>
      </c>
      <c r="T62" s="109" t="s">
        <v>283</v>
      </c>
      <c r="U62" s="74"/>
      <c r="V62" s="74">
        <v>50</v>
      </c>
      <c r="W62" s="74">
        <v>5</v>
      </c>
      <c r="X62" s="73">
        <v>0</v>
      </c>
      <c r="Y62" s="74">
        <v>1</v>
      </c>
      <c r="Z62" s="74">
        <v>3057</v>
      </c>
      <c r="AA62" s="107"/>
      <c r="AB62" s="107"/>
      <c r="AC62" s="67">
        <v>999</v>
      </c>
      <c r="AD62" s="67">
        <v>10000</v>
      </c>
    </row>
    <row r="63" s="74" customFormat="1" spans="1:30">
      <c r="A63" s="74">
        <v>3058</v>
      </c>
      <c r="B63" s="74">
        <v>1</v>
      </c>
      <c r="C63" s="74">
        <v>0</v>
      </c>
      <c r="D63" s="74" t="s">
        <v>122</v>
      </c>
      <c r="E63" s="108" t="s">
        <v>98</v>
      </c>
      <c r="F63" s="74">
        <v>56</v>
      </c>
      <c r="G63" s="74">
        <v>6</v>
      </c>
      <c r="H63" s="74">
        <v>30580</v>
      </c>
      <c r="I63" s="74" t="s">
        <v>284</v>
      </c>
      <c r="J63" s="74">
        <v>-1</v>
      </c>
      <c r="K63" s="83">
        <v>5</v>
      </c>
      <c r="L63" s="43">
        <v>2500</v>
      </c>
      <c r="M63" s="43" t="s">
        <v>99</v>
      </c>
      <c r="N63" s="43" t="s">
        <v>100</v>
      </c>
      <c r="O63" s="74">
        <v>30580</v>
      </c>
      <c r="P63" s="74">
        <v>30582</v>
      </c>
      <c r="Q63" s="83">
        <v>1</v>
      </c>
      <c r="R63" s="74">
        <v>8</v>
      </c>
      <c r="S63" s="66" t="s">
        <v>285</v>
      </c>
      <c r="T63" s="109" t="s">
        <v>286</v>
      </c>
      <c r="U63" s="74"/>
      <c r="V63" s="74">
        <v>50</v>
      </c>
      <c r="W63" s="74">
        <v>5</v>
      </c>
      <c r="X63" s="73">
        <v>0</v>
      </c>
      <c r="Y63" s="74">
        <v>1</v>
      </c>
      <c r="Z63" s="74">
        <v>3058</v>
      </c>
      <c r="AA63" s="107"/>
      <c r="AB63" s="107"/>
      <c r="AC63" s="67">
        <v>999</v>
      </c>
      <c r="AD63" s="67">
        <v>10000</v>
      </c>
    </row>
    <row r="64" s="74" customFormat="1" spans="1:30">
      <c r="A64" s="74">
        <v>3059</v>
      </c>
      <c r="B64" s="74">
        <v>1</v>
      </c>
      <c r="C64" s="74">
        <v>0</v>
      </c>
      <c r="D64" s="74" t="s">
        <v>287</v>
      </c>
      <c r="E64" s="108" t="s">
        <v>98</v>
      </c>
      <c r="F64" s="74">
        <v>57</v>
      </c>
      <c r="G64" s="74">
        <v>6</v>
      </c>
      <c r="H64" s="74">
        <v>30590</v>
      </c>
      <c r="J64" s="83">
        <v>-1</v>
      </c>
      <c r="K64" s="83">
        <v>5</v>
      </c>
      <c r="L64" s="43">
        <v>2500</v>
      </c>
      <c r="M64" s="43" t="s">
        <v>99</v>
      </c>
      <c r="N64" s="43" t="s">
        <v>100</v>
      </c>
      <c r="O64" s="74">
        <v>30590</v>
      </c>
      <c r="P64" s="74">
        <v>30591</v>
      </c>
      <c r="Q64" s="83">
        <v>1</v>
      </c>
      <c r="R64" s="74">
        <v>8</v>
      </c>
      <c r="S64" s="66" t="s">
        <v>288</v>
      </c>
      <c r="T64" s="109" t="s">
        <v>289</v>
      </c>
      <c r="U64" s="74"/>
      <c r="V64" s="74">
        <v>50</v>
      </c>
      <c r="W64" s="74">
        <v>5</v>
      </c>
      <c r="X64" s="73">
        <v>0</v>
      </c>
      <c r="Y64" s="74">
        <v>1</v>
      </c>
      <c r="Z64" s="74">
        <v>3059</v>
      </c>
      <c r="AA64" s="107"/>
      <c r="AB64" s="107"/>
      <c r="AC64" s="67">
        <v>999</v>
      </c>
      <c r="AD64" s="67">
        <v>10000</v>
      </c>
    </row>
    <row r="65" s="74" customFormat="1" spans="1:30">
      <c r="A65" s="74">
        <v>3060</v>
      </c>
      <c r="B65" s="74">
        <v>1</v>
      </c>
      <c r="C65" s="74">
        <v>0</v>
      </c>
      <c r="D65" s="74" t="s">
        <v>290</v>
      </c>
      <c r="E65" s="108" t="s">
        <v>98</v>
      </c>
      <c r="F65" s="74">
        <v>58</v>
      </c>
      <c r="G65" s="74">
        <v>6</v>
      </c>
      <c r="H65" s="74">
        <v>30600</v>
      </c>
      <c r="J65" s="83">
        <v>-1</v>
      </c>
      <c r="K65" s="83">
        <v>5</v>
      </c>
      <c r="L65" s="43">
        <v>2500</v>
      </c>
      <c r="M65" s="43" t="s">
        <v>99</v>
      </c>
      <c r="N65" s="43" t="s">
        <v>100</v>
      </c>
      <c r="O65" s="74">
        <v>30600</v>
      </c>
      <c r="P65" s="74">
        <v>30601</v>
      </c>
      <c r="Q65" s="83">
        <v>1</v>
      </c>
      <c r="R65" s="74">
        <v>8</v>
      </c>
      <c r="S65" s="66" t="s">
        <v>291</v>
      </c>
      <c r="T65" s="109" t="s">
        <v>292</v>
      </c>
      <c r="U65" s="74"/>
      <c r="V65" s="74">
        <v>50</v>
      </c>
      <c r="W65" s="74">
        <v>5</v>
      </c>
      <c r="X65" s="73">
        <v>0</v>
      </c>
      <c r="Y65" s="74">
        <v>1</v>
      </c>
      <c r="Z65" s="74">
        <v>3060</v>
      </c>
      <c r="AA65" s="107"/>
      <c r="AB65" s="107"/>
      <c r="AC65" s="67">
        <v>999</v>
      </c>
      <c r="AD65" s="67">
        <v>10000</v>
      </c>
    </row>
    <row r="66" s="74" customFormat="1" spans="1:30">
      <c r="A66" s="74">
        <v>3061</v>
      </c>
      <c r="B66" s="74">
        <v>1</v>
      </c>
      <c r="C66" s="74">
        <v>0</v>
      </c>
      <c r="D66" s="74" t="s">
        <v>293</v>
      </c>
      <c r="E66" s="108"/>
      <c r="F66" s="74">
        <v>61</v>
      </c>
      <c r="G66" s="74">
        <v>6</v>
      </c>
      <c r="H66" s="74">
        <v>30610</v>
      </c>
      <c r="J66" s="83"/>
      <c r="K66" s="83"/>
      <c r="L66" s="43"/>
      <c r="M66" s="43"/>
      <c r="N66" s="43"/>
      <c r="O66" s="74">
        <v>30610</v>
      </c>
      <c r="P66" s="74">
        <v>30611</v>
      </c>
      <c r="Q66" s="83">
        <v>0</v>
      </c>
      <c r="R66" s="74">
        <v>8</v>
      </c>
      <c r="S66" s="66" t="s">
        <v>294</v>
      </c>
      <c r="T66" s="109" t="s">
        <v>295</v>
      </c>
      <c r="V66" s="74">
        <v>50</v>
      </c>
      <c r="W66" s="74">
        <v>5</v>
      </c>
      <c r="X66" s="73">
        <v>0</v>
      </c>
      <c r="Y66" s="74">
        <v>1</v>
      </c>
      <c r="Z66" s="74">
        <v>3061</v>
      </c>
      <c r="AA66" s="107" t="s">
        <v>296</v>
      </c>
      <c r="AB66" s="107"/>
      <c r="AC66" s="67">
        <v>999</v>
      </c>
      <c r="AD66" s="67">
        <v>10000</v>
      </c>
    </row>
    <row r="67" s="74" customFormat="1" spans="1:30">
      <c r="A67" s="74">
        <v>3062</v>
      </c>
      <c r="B67" s="74">
        <v>1</v>
      </c>
      <c r="C67" s="74">
        <v>0</v>
      </c>
      <c r="D67" s="74" t="s">
        <v>297</v>
      </c>
      <c r="E67" s="108"/>
      <c r="F67" s="74">
        <v>62</v>
      </c>
      <c r="G67" s="74">
        <v>6</v>
      </c>
      <c r="H67" s="74">
        <v>30620</v>
      </c>
      <c r="J67" s="83"/>
      <c r="K67" s="83"/>
      <c r="L67" s="43"/>
      <c r="M67" s="43"/>
      <c r="N67" s="43"/>
      <c r="O67" s="74">
        <v>30620</v>
      </c>
      <c r="P67" s="74">
        <v>30621</v>
      </c>
      <c r="Q67" s="83">
        <v>0</v>
      </c>
      <c r="R67" s="74">
        <v>8</v>
      </c>
      <c r="S67" s="66" t="s">
        <v>298</v>
      </c>
      <c r="T67" s="109" t="s">
        <v>299</v>
      </c>
      <c r="V67" s="74">
        <v>50</v>
      </c>
      <c r="W67" s="74">
        <v>5</v>
      </c>
      <c r="X67" s="73">
        <v>0</v>
      </c>
      <c r="Y67" s="74">
        <v>1</v>
      </c>
      <c r="Z67" s="74">
        <v>3062</v>
      </c>
      <c r="AA67" s="107" t="s">
        <v>296</v>
      </c>
      <c r="AB67" s="107" t="s">
        <v>300</v>
      </c>
      <c r="AC67" s="67">
        <v>999</v>
      </c>
      <c r="AD67" s="67">
        <v>10000</v>
      </c>
    </row>
    <row r="68" s="74" customFormat="1" spans="1:30">
      <c r="A68" s="74">
        <v>3063</v>
      </c>
      <c r="B68" s="74">
        <v>0</v>
      </c>
      <c r="C68" s="74">
        <v>0</v>
      </c>
      <c r="D68" s="74" t="s">
        <v>301</v>
      </c>
      <c r="E68" s="108"/>
      <c r="F68" s="74">
        <v>63</v>
      </c>
      <c r="G68" s="74">
        <v>6</v>
      </c>
      <c r="H68" s="74">
        <v>30630</v>
      </c>
      <c r="J68" s="83"/>
      <c r="K68" s="83"/>
      <c r="L68" s="43"/>
      <c r="M68" s="43"/>
      <c r="N68" s="43"/>
      <c r="O68" s="74">
        <v>30630</v>
      </c>
      <c r="P68" s="74">
        <v>30631</v>
      </c>
      <c r="Q68" s="83">
        <v>0</v>
      </c>
      <c r="R68" s="74">
        <v>8</v>
      </c>
      <c r="S68" s="66" t="s">
        <v>302</v>
      </c>
      <c r="T68" s="109" t="s">
        <v>303</v>
      </c>
      <c r="V68" s="74">
        <v>50</v>
      </c>
      <c r="W68" s="74">
        <v>5</v>
      </c>
      <c r="X68" s="73">
        <v>0</v>
      </c>
      <c r="Y68" s="74">
        <v>1</v>
      </c>
      <c r="Z68" s="74">
        <v>3063</v>
      </c>
      <c r="AA68" s="107" t="s">
        <v>296</v>
      </c>
      <c r="AB68" s="107"/>
      <c r="AC68" s="67">
        <v>999</v>
      </c>
      <c r="AD68" s="67">
        <v>10000</v>
      </c>
    </row>
    <row r="69" s="74" customFormat="1" spans="1:30">
      <c r="A69" s="74">
        <v>3064</v>
      </c>
      <c r="B69" s="74">
        <v>1</v>
      </c>
      <c r="C69" s="74">
        <v>0</v>
      </c>
      <c r="D69" s="74" t="s">
        <v>304</v>
      </c>
      <c r="E69" s="108" t="s">
        <v>305</v>
      </c>
      <c r="F69" s="74">
        <v>64</v>
      </c>
      <c r="G69" s="74">
        <v>6</v>
      </c>
      <c r="H69" s="74">
        <v>30640</v>
      </c>
      <c r="J69" s="83">
        <v>-1</v>
      </c>
      <c r="K69" s="83">
        <v>3064</v>
      </c>
      <c r="L69" s="43">
        <v>1</v>
      </c>
      <c r="M69" s="43" t="s">
        <v>306</v>
      </c>
      <c r="N69" s="43"/>
      <c r="O69" s="74">
        <v>30640</v>
      </c>
      <c r="P69" s="74">
        <v>30641</v>
      </c>
      <c r="Q69" s="83">
        <v>0</v>
      </c>
      <c r="R69" s="74">
        <v>8</v>
      </c>
      <c r="S69" s="66" t="s">
        <v>307</v>
      </c>
      <c r="T69" s="109" t="s">
        <v>308</v>
      </c>
      <c r="V69" s="74">
        <v>50</v>
      </c>
      <c r="W69" s="74">
        <v>5</v>
      </c>
      <c r="X69" s="73">
        <v>0</v>
      </c>
      <c r="Y69" s="74">
        <v>1</v>
      </c>
      <c r="Z69" s="74">
        <v>3064</v>
      </c>
      <c r="AA69" s="107" t="s">
        <v>296</v>
      </c>
      <c r="AB69" s="107"/>
      <c r="AC69" s="67">
        <v>6</v>
      </c>
      <c r="AD69" s="67">
        <v>10000</v>
      </c>
    </row>
    <row r="70" s="74" customFormat="1" spans="1:30">
      <c r="A70" s="74">
        <v>3065</v>
      </c>
      <c r="B70" s="74">
        <v>1</v>
      </c>
      <c r="C70" s="74">
        <v>1</v>
      </c>
      <c r="D70" s="74" t="s">
        <v>244</v>
      </c>
      <c r="E70" s="91" t="s">
        <v>142</v>
      </c>
      <c r="F70" s="116">
        <v>8</v>
      </c>
      <c r="G70" s="116">
        <v>6</v>
      </c>
      <c r="H70" s="74">
        <v>30650</v>
      </c>
      <c r="I70" s="74">
        <v>30651</v>
      </c>
      <c r="J70" s="83">
        <v>-1</v>
      </c>
      <c r="K70" s="74">
        <v>3065</v>
      </c>
      <c r="L70" s="43">
        <v>1</v>
      </c>
      <c r="M70" s="74" t="s">
        <v>309</v>
      </c>
      <c r="N70" s="43"/>
      <c r="O70" s="74">
        <v>30650</v>
      </c>
      <c r="P70" s="74">
        <v>30651</v>
      </c>
      <c r="Q70" s="83">
        <v>1</v>
      </c>
      <c r="R70" s="74">
        <v>8</v>
      </c>
      <c r="S70" s="66" t="s">
        <v>245</v>
      </c>
      <c r="T70" s="109" t="s">
        <v>310</v>
      </c>
      <c r="V70" s="74">
        <v>50</v>
      </c>
      <c r="W70" s="74">
        <v>3</v>
      </c>
      <c r="X70" s="73">
        <v>0</v>
      </c>
      <c r="Y70" s="74">
        <v>1</v>
      </c>
      <c r="Z70" s="74">
        <v>3065</v>
      </c>
      <c r="AA70" s="107"/>
      <c r="AB70" s="107" t="s">
        <v>311</v>
      </c>
      <c r="AC70" s="67">
        <v>999</v>
      </c>
      <c r="AD70" s="67">
        <v>10000</v>
      </c>
    </row>
    <row r="71" s="18" customFormat="1" ht="14.25" spans="1:30">
      <c r="A71" s="18">
        <v>3066</v>
      </c>
      <c r="B71" s="18">
        <v>1</v>
      </c>
      <c r="C71" s="18">
        <v>0</v>
      </c>
      <c r="D71" s="18" t="s">
        <v>312</v>
      </c>
      <c r="E71" s="117" t="s">
        <v>98</v>
      </c>
      <c r="F71" s="118">
        <v>66</v>
      </c>
      <c r="G71" s="118">
        <v>6</v>
      </c>
      <c r="H71" s="18">
        <v>30660</v>
      </c>
      <c r="I71" s="18">
        <v>30661</v>
      </c>
      <c r="J71" s="15">
        <v>-1</v>
      </c>
      <c r="K71" s="15">
        <v>5</v>
      </c>
      <c r="L71" s="43">
        <v>2500</v>
      </c>
      <c r="M71" s="43" t="s">
        <v>99</v>
      </c>
      <c r="N71" s="43" t="s">
        <v>100</v>
      </c>
      <c r="O71" s="18">
        <v>30660</v>
      </c>
      <c r="P71" s="18">
        <v>30661</v>
      </c>
      <c r="Q71" s="15">
        <v>0</v>
      </c>
      <c r="R71" s="18">
        <v>8</v>
      </c>
      <c r="S71" s="66" t="s">
        <v>313</v>
      </c>
      <c r="T71" s="109" t="s">
        <v>314</v>
      </c>
      <c r="V71" s="18">
        <v>50</v>
      </c>
      <c r="W71" s="18">
        <v>2.5</v>
      </c>
      <c r="X71" s="119">
        <v>0</v>
      </c>
      <c r="Y71" s="18">
        <v>1</v>
      </c>
      <c r="Z71" s="18">
        <v>3066</v>
      </c>
      <c r="AA71" s="43" t="s">
        <v>296</v>
      </c>
      <c r="AB71" s="43"/>
      <c r="AC71" s="120">
        <v>999</v>
      </c>
      <c r="AD71" s="120">
        <v>10000</v>
      </c>
    </row>
    <row r="72" s="18" customFormat="1" ht="14.25" spans="1:30">
      <c r="A72" s="18">
        <v>3067</v>
      </c>
      <c r="B72" s="18">
        <v>1</v>
      </c>
      <c r="C72" s="18">
        <v>0</v>
      </c>
      <c r="D72" s="18" t="s">
        <v>315</v>
      </c>
      <c r="E72" s="117" t="s">
        <v>98</v>
      </c>
      <c r="F72" s="118">
        <v>67</v>
      </c>
      <c r="G72" s="118">
        <v>6</v>
      </c>
      <c r="H72" s="18">
        <v>30670</v>
      </c>
      <c r="I72" s="18">
        <v>30671</v>
      </c>
      <c r="J72" s="15">
        <v>-1</v>
      </c>
      <c r="K72" s="15">
        <v>5</v>
      </c>
      <c r="L72" s="43">
        <v>2500</v>
      </c>
      <c r="M72" s="43" t="s">
        <v>99</v>
      </c>
      <c r="N72" s="43" t="s">
        <v>100</v>
      </c>
      <c r="O72" s="18">
        <v>30670</v>
      </c>
      <c r="P72" s="18">
        <v>30671</v>
      </c>
      <c r="Q72" s="15">
        <v>0</v>
      </c>
      <c r="R72" s="18">
        <v>8</v>
      </c>
      <c r="S72" s="66" t="s">
        <v>316</v>
      </c>
      <c r="T72" s="109" t="s">
        <v>317</v>
      </c>
      <c r="V72" s="18">
        <v>50</v>
      </c>
      <c r="W72" s="18">
        <v>5</v>
      </c>
      <c r="X72" s="119">
        <v>0</v>
      </c>
      <c r="Y72" s="18">
        <v>1</v>
      </c>
      <c r="Z72" s="18">
        <v>3067</v>
      </c>
      <c r="AA72" s="43" t="s">
        <v>296</v>
      </c>
      <c r="AB72" s="43"/>
      <c r="AC72" s="120">
        <v>999</v>
      </c>
      <c r="AD72" s="120">
        <v>10000</v>
      </c>
    </row>
    <row r="73" s="18" customFormat="1" ht="14.25" spans="1:30">
      <c r="A73" s="18">
        <v>3068</v>
      </c>
      <c r="B73" s="18">
        <v>1</v>
      </c>
      <c r="C73" s="18">
        <v>0</v>
      </c>
      <c r="D73" s="18" t="s">
        <v>318</v>
      </c>
      <c r="E73" s="117" t="s">
        <v>98</v>
      </c>
      <c r="F73" s="118">
        <v>68</v>
      </c>
      <c r="G73" s="118">
        <v>6</v>
      </c>
      <c r="H73" s="18">
        <v>30680</v>
      </c>
      <c r="I73" s="18">
        <v>30681</v>
      </c>
      <c r="J73" s="15">
        <v>-1</v>
      </c>
      <c r="K73" s="15">
        <v>5</v>
      </c>
      <c r="L73" s="43">
        <v>2500</v>
      </c>
      <c r="M73" s="43" t="s">
        <v>99</v>
      </c>
      <c r="N73" s="43" t="s">
        <v>100</v>
      </c>
      <c r="O73" s="18">
        <v>30680</v>
      </c>
      <c r="P73" s="18">
        <v>30681</v>
      </c>
      <c r="Q73" s="15">
        <v>0</v>
      </c>
      <c r="R73" s="18">
        <v>8</v>
      </c>
      <c r="S73" s="66" t="s">
        <v>319</v>
      </c>
      <c r="T73" s="109" t="s">
        <v>320</v>
      </c>
      <c r="V73" s="18">
        <v>50</v>
      </c>
      <c r="W73" s="18">
        <v>4</v>
      </c>
      <c r="X73" s="119">
        <v>0</v>
      </c>
      <c r="Y73" s="18">
        <v>1</v>
      </c>
      <c r="Z73" s="18">
        <v>3068</v>
      </c>
      <c r="AA73" s="43" t="s">
        <v>296</v>
      </c>
      <c r="AB73" s="43"/>
      <c r="AC73" s="120" t="s">
        <v>269</v>
      </c>
      <c r="AD73" s="120">
        <v>10000</v>
      </c>
    </row>
    <row r="74" s="18" customFormat="1" ht="14.25" spans="1:30">
      <c r="A74" s="18">
        <v>3069</v>
      </c>
      <c r="B74" s="18">
        <v>1</v>
      </c>
      <c r="C74" s="18">
        <v>0</v>
      </c>
      <c r="D74" s="18" t="s">
        <v>321</v>
      </c>
      <c r="E74" s="117" t="s">
        <v>98</v>
      </c>
      <c r="F74" s="118">
        <v>69</v>
      </c>
      <c r="G74" s="118">
        <v>6</v>
      </c>
      <c r="H74" s="18">
        <v>30690</v>
      </c>
      <c r="I74" s="18" t="s">
        <v>322</v>
      </c>
      <c r="J74" s="15">
        <v>-1</v>
      </c>
      <c r="K74" s="15">
        <v>5</v>
      </c>
      <c r="L74" s="43">
        <v>2500</v>
      </c>
      <c r="M74" s="43" t="s">
        <v>99</v>
      </c>
      <c r="N74" s="43" t="s">
        <v>100</v>
      </c>
      <c r="O74" s="18">
        <v>30690</v>
      </c>
      <c r="P74" s="18">
        <v>30691</v>
      </c>
      <c r="Q74" s="15">
        <v>0</v>
      </c>
      <c r="R74" s="18">
        <v>8</v>
      </c>
      <c r="S74" s="66" t="s">
        <v>323</v>
      </c>
      <c r="T74" s="109" t="s">
        <v>324</v>
      </c>
      <c r="V74" s="18">
        <v>50</v>
      </c>
      <c r="W74" s="18">
        <v>3.5</v>
      </c>
      <c r="X74" s="119">
        <v>0</v>
      </c>
      <c r="Y74" s="18">
        <v>1</v>
      </c>
      <c r="Z74" s="18">
        <v>3069</v>
      </c>
      <c r="AA74" s="43" t="s">
        <v>296</v>
      </c>
      <c r="AB74" s="43"/>
      <c r="AC74" s="120">
        <v>999</v>
      </c>
      <c r="AD74" s="120">
        <v>10000</v>
      </c>
    </row>
    <row r="75" s="18" customFormat="1" ht="14.25" spans="1:30">
      <c r="A75" s="18">
        <v>3070</v>
      </c>
      <c r="B75" s="18">
        <v>1</v>
      </c>
      <c r="C75" s="18">
        <v>0</v>
      </c>
      <c r="D75" s="18" t="s">
        <v>325</v>
      </c>
      <c r="E75" s="117" t="s">
        <v>98</v>
      </c>
      <c r="F75" s="118">
        <v>70</v>
      </c>
      <c r="G75" s="118">
        <v>6</v>
      </c>
      <c r="H75" s="18">
        <v>30700</v>
      </c>
      <c r="I75" s="18" t="s">
        <v>326</v>
      </c>
      <c r="J75" s="15">
        <v>-1</v>
      </c>
      <c r="K75" s="15">
        <v>5</v>
      </c>
      <c r="L75" s="43">
        <v>2500</v>
      </c>
      <c r="M75" s="43" t="s">
        <v>99</v>
      </c>
      <c r="N75" s="43" t="s">
        <v>100</v>
      </c>
      <c r="O75" s="18">
        <v>30700</v>
      </c>
      <c r="P75" s="18">
        <v>30701</v>
      </c>
      <c r="Q75" s="15">
        <v>0</v>
      </c>
      <c r="R75" s="18">
        <v>8</v>
      </c>
      <c r="S75" s="66" t="s">
        <v>327</v>
      </c>
      <c r="T75" s="109" t="s">
        <v>328</v>
      </c>
      <c r="V75" s="18">
        <v>50</v>
      </c>
      <c r="W75" s="18">
        <v>5</v>
      </c>
      <c r="X75" s="119">
        <v>0</v>
      </c>
      <c r="Y75" s="18">
        <v>1</v>
      </c>
      <c r="Z75" s="18">
        <v>3070</v>
      </c>
      <c r="AA75" s="43" t="s">
        <v>296</v>
      </c>
      <c r="AB75" s="43"/>
      <c r="AC75" s="120">
        <v>5</v>
      </c>
      <c r="AD75" s="120">
        <v>10000</v>
      </c>
    </row>
    <row r="76" s="18" customFormat="1" ht="14.25" spans="1:30">
      <c r="A76" s="18">
        <v>3071</v>
      </c>
      <c r="B76" s="18">
        <v>1</v>
      </c>
      <c r="C76" s="18">
        <v>0</v>
      </c>
      <c r="D76" s="18" t="s">
        <v>329</v>
      </c>
      <c r="E76" s="117" t="s">
        <v>98</v>
      </c>
      <c r="F76" s="118">
        <v>71</v>
      </c>
      <c r="G76" s="118">
        <v>6</v>
      </c>
      <c r="H76" s="18">
        <v>30710</v>
      </c>
      <c r="I76" s="18">
        <v>30711</v>
      </c>
      <c r="J76" s="15">
        <v>-1</v>
      </c>
      <c r="K76" s="15">
        <v>5</v>
      </c>
      <c r="L76" s="43">
        <v>2500</v>
      </c>
      <c r="M76" s="43" t="s">
        <v>99</v>
      </c>
      <c r="N76" s="43" t="s">
        <v>100</v>
      </c>
      <c r="O76" s="18">
        <v>30710</v>
      </c>
      <c r="P76" s="18">
        <v>30711</v>
      </c>
      <c r="Q76" s="15">
        <v>0</v>
      </c>
      <c r="R76" s="18">
        <v>8</v>
      </c>
      <c r="S76" s="66" t="s">
        <v>330</v>
      </c>
      <c r="T76" s="109" t="s">
        <v>331</v>
      </c>
      <c r="V76" s="18">
        <v>50</v>
      </c>
      <c r="W76" s="18">
        <v>2</v>
      </c>
      <c r="X76" s="119">
        <v>0</v>
      </c>
      <c r="Y76" s="18">
        <v>1</v>
      </c>
      <c r="Z76" s="18">
        <v>3071</v>
      </c>
      <c r="AA76" s="43" t="s">
        <v>296</v>
      </c>
      <c r="AB76" s="43"/>
      <c r="AC76" s="120">
        <v>999</v>
      </c>
      <c r="AD76" s="120">
        <v>10000</v>
      </c>
    </row>
    <row r="77" s="18" customFormat="1" ht="14.25" spans="1:30">
      <c r="A77" s="18">
        <v>3072</v>
      </c>
      <c r="B77" s="18">
        <v>1</v>
      </c>
      <c r="C77" s="18">
        <v>0</v>
      </c>
      <c r="D77" s="18" t="s">
        <v>332</v>
      </c>
      <c r="E77" s="117" t="s">
        <v>98</v>
      </c>
      <c r="F77" s="118">
        <v>72</v>
      </c>
      <c r="G77" s="118">
        <v>6</v>
      </c>
      <c r="H77" s="18">
        <v>30720</v>
      </c>
      <c r="I77" s="18" t="s">
        <v>333</v>
      </c>
      <c r="J77" s="15">
        <v>-1</v>
      </c>
      <c r="K77" s="15">
        <v>5</v>
      </c>
      <c r="L77" s="43">
        <v>2500</v>
      </c>
      <c r="M77" s="43" t="s">
        <v>99</v>
      </c>
      <c r="N77" s="43" t="s">
        <v>100</v>
      </c>
      <c r="O77" s="18">
        <v>30720</v>
      </c>
      <c r="P77" s="18">
        <v>30721</v>
      </c>
      <c r="Q77" s="15">
        <v>0</v>
      </c>
      <c r="R77" s="18">
        <v>8</v>
      </c>
      <c r="S77" s="66" t="s">
        <v>334</v>
      </c>
      <c r="T77" s="109" t="s">
        <v>335</v>
      </c>
      <c r="V77" s="18">
        <v>50</v>
      </c>
      <c r="W77" s="18">
        <v>5</v>
      </c>
      <c r="X77" s="119">
        <v>0</v>
      </c>
      <c r="Y77" s="18">
        <v>1</v>
      </c>
      <c r="Z77" s="18">
        <v>3072</v>
      </c>
      <c r="AA77" s="43" t="s">
        <v>296</v>
      </c>
      <c r="AB77" s="43"/>
      <c r="AC77" s="120">
        <v>7</v>
      </c>
      <c r="AD77" s="120">
        <v>10000</v>
      </c>
    </row>
    <row r="78" s="18" customFormat="1" ht="14.25" spans="1:30">
      <c r="A78" s="18">
        <v>3073</v>
      </c>
      <c r="B78" s="18">
        <v>1</v>
      </c>
      <c r="C78" s="18">
        <v>0</v>
      </c>
      <c r="D78" s="18" t="s">
        <v>336</v>
      </c>
      <c r="E78" s="117" t="s">
        <v>98</v>
      </c>
      <c r="F78" s="118">
        <v>73</v>
      </c>
      <c r="G78" s="118">
        <v>6</v>
      </c>
      <c r="H78" s="18">
        <v>30730</v>
      </c>
      <c r="I78" s="18" t="s">
        <v>337</v>
      </c>
      <c r="J78" s="15"/>
      <c r="K78" s="15"/>
      <c r="L78" s="43"/>
      <c r="M78" s="43"/>
      <c r="N78" s="43"/>
      <c r="O78" s="18">
        <v>30730</v>
      </c>
      <c r="P78" s="18">
        <v>30731</v>
      </c>
      <c r="Q78" s="15">
        <v>0</v>
      </c>
      <c r="R78" s="18">
        <v>8</v>
      </c>
      <c r="S78" s="66" t="s">
        <v>338</v>
      </c>
      <c r="T78" s="109" t="s">
        <v>339</v>
      </c>
      <c r="V78" s="18">
        <v>50</v>
      </c>
      <c r="W78" s="18">
        <v>5</v>
      </c>
      <c r="X78" s="119">
        <v>0</v>
      </c>
      <c r="Y78" s="18">
        <v>1</v>
      </c>
      <c r="Z78" s="18">
        <v>3073</v>
      </c>
      <c r="AA78" s="43" t="s">
        <v>296</v>
      </c>
      <c r="AB78" s="43"/>
      <c r="AC78" s="120">
        <v>8</v>
      </c>
      <c r="AD78" s="120">
        <v>10000</v>
      </c>
    </row>
    <row r="79" s="18" customFormat="1" ht="14.25" spans="1:30">
      <c r="A79" s="18">
        <v>3074</v>
      </c>
      <c r="B79" s="18">
        <v>1</v>
      </c>
      <c r="C79" s="18">
        <v>0</v>
      </c>
      <c r="D79" s="18" t="s">
        <v>340</v>
      </c>
      <c r="E79" s="117" t="s">
        <v>98</v>
      </c>
      <c r="F79" s="118">
        <v>74</v>
      </c>
      <c r="G79" s="118">
        <v>6</v>
      </c>
      <c r="H79" s="18">
        <v>30740</v>
      </c>
      <c r="I79" s="18" t="s">
        <v>341</v>
      </c>
      <c r="J79" s="15">
        <v>-1</v>
      </c>
      <c r="K79" s="15">
        <v>5</v>
      </c>
      <c r="L79" s="43">
        <v>2500</v>
      </c>
      <c r="M79" s="43" t="s">
        <v>99</v>
      </c>
      <c r="N79" s="43" t="s">
        <v>100</v>
      </c>
      <c r="O79" s="18">
        <v>30740</v>
      </c>
      <c r="P79" s="18">
        <v>30741</v>
      </c>
      <c r="Q79" s="15">
        <v>0</v>
      </c>
      <c r="R79" s="18">
        <v>8</v>
      </c>
      <c r="S79" s="66" t="s">
        <v>342</v>
      </c>
      <c r="T79" s="109" t="s">
        <v>343</v>
      </c>
      <c r="V79" s="18">
        <v>50</v>
      </c>
      <c r="W79" s="18">
        <v>5</v>
      </c>
      <c r="X79" s="119">
        <v>0</v>
      </c>
      <c r="Y79" s="18">
        <v>1</v>
      </c>
      <c r="Z79" s="18">
        <v>3074</v>
      </c>
      <c r="AA79" s="43" t="s">
        <v>296</v>
      </c>
      <c r="AB79" s="43"/>
      <c r="AC79" s="120">
        <v>999</v>
      </c>
      <c r="AD79" s="120">
        <v>10000</v>
      </c>
    </row>
    <row r="80" s="18" customFormat="1" ht="14.25" spans="1:30">
      <c r="A80" s="18">
        <v>3075</v>
      </c>
      <c r="B80" s="18">
        <v>1</v>
      </c>
      <c r="C80" s="18">
        <v>0</v>
      </c>
      <c r="D80" s="18" t="s">
        <v>344</v>
      </c>
      <c r="E80" s="117" t="s">
        <v>98</v>
      </c>
      <c r="F80" s="118">
        <v>75</v>
      </c>
      <c r="G80" s="118">
        <v>6</v>
      </c>
      <c r="H80" s="18">
        <v>30750</v>
      </c>
      <c r="I80" s="18" t="s">
        <v>345</v>
      </c>
      <c r="J80" s="15">
        <v>-1</v>
      </c>
      <c r="K80" s="15">
        <v>5</v>
      </c>
      <c r="L80" s="43">
        <v>2500</v>
      </c>
      <c r="M80" s="43" t="s">
        <v>99</v>
      </c>
      <c r="N80" s="43" t="s">
        <v>100</v>
      </c>
      <c r="O80" s="18">
        <v>30750</v>
      </c>
      <c r="P80" s="18">
        <v>30751</v>
      </c>
      <c r="Q80" s="15">
        <v>0</v>
      </c>
      <c r="R80" s="18">
        <v>8</v>
      </c>
      <c r="S80" s="66" t="s">
        <v>346</v>
      </c>
      <c r="T80" s="109"/>
      <c r="V80" s="18">
        <v>50</v>
      </c>
      <c r="W80" s="18">
        <v>2</v>
      </c>
      <c r="X80" s="119">
        <v>0</v>
      </c>
      <c r="Y80" s="18">
        <v>1</v>
      </c>
      <c r="Z80" s="18">
        <v>3075</v>
      </c>
      <c r="AA80" s="43" t="s">
        <v>296</v>
      </c>
      <c r="AB80" s="43"/>
      <c r="AC80" s="120">
        <v>999</v>
      </c>
      <c r="AD80" s="120">
        <v>10000</v>
      </c>
    </row>
    <row r="81" s="72" customFormat="1" spans="1:31">
      <c r="A81" s="72">
        <v>5001</v>
      </c>
      <c r="B81" s="72">
        <v>0</v>
      </c>
      <c r="C81" s="72">
        <v>0</v>
      </c>
      <c r="D81" s="121" t="s">
        <v>347</v>
      </c>
      <c r="E81" s="121">
        <v>5001</v>
      </c>
      <c r="F81" s="72">
        <v>501</v>
      </c>
      <c r="G81" s="72">
        <v>6</v>
      </c>
      <c r="H81" s="72">
        <v>35001</v>
      </c>
      <c r="J81" s="83">
        <v>99999</v>
      </c>
      <c r="K81" s="43"/>
      <c r="L81" s="43"/>
      <c r="M81" s="43"/>
      <c r="N81" s="43"/>
      <c r="O81" s="72">
        <v>35001</v>
      </c>
      <c r="P81" s="72">
        <v>30541</v>
      </c>
      <c r="Q81" s="72">
        <v>0</v>
      </c>
      <c r="R81" s="72">
        <v>8</v>
      </c>
      <c r="S81" s="43" t="s">
        <v>347</v>
      </c>
      <c r="T81" s="106"/>
      <c r="V81" s="72">
        <v>1</v>
      </c>
      <c r="W81" s="72">
        <v>0</v>
      </c>
      <c r="X81" s="73">
        <v>0</v>
      </c>
      <c r="Y81" s="72">
        <v>1</v>
      </c>
      <c r="Z81" s="107">
        <v>3001</v>
      </c>
      <c r="AA81" s="107"/>
      <c r="AB81" s="107"/>
      <c r="AE81" s="72" t="s">
        <v>348</v>
      </c>
    </row>
    <row r="82" s="72" customFormat="1" spans="1:31">
      <c r="A82" s="72">
        <v>5002</v>
      </c>
      <c r="B82" s="72">
        <v>0</v>
      </c>
      <c r="C82" s="72">
        <v>0</v>
      </c>
      <c r="D82" s="121" t="s">
        <v>349</v>
      </c>
      <c r="E82" s="121">
        <v>5002</v>
      </c>
      <c r="F82" s="72">
        <v>502</v>
      </c>
      <c r="G82" s="72">
        <v>6</v>
      </c>
      <c r="H82" s="72">
        <v>35002</v>
      </c>
      <c r="J82" s="83">
        <v>99999</v>
      </c>
      <c r="K82" s="43"/>
      <c r="L82" s="43"/>
      <c r="M82" s="43"/>
      <c r="N82" s="43"/>
      <c r="O82" s="72">
        <v>35002</v>
      </c>
      <c r="P82" s="72">
        <v>30541</v>
      </c>
      <c r="Q82" s="72">
        <v>0</v>
      </c>
      <c r="R82" s="72">
        <v>8</v>
      </c>
      <c r="S82" s="43" t="s">
        <v>349</v>
      </c>
      <c r="T82" s="106"/>
      <c r="V82" s="72">
        <v>1</v>
      </c>
      <c r="W82" s="72">
        <v>0</v>
      </c>
      <c r="X82" s="73">
        <v>0</v>
      </c>
      <c r="Y82" s="72">
        <v>1</v>
      </c>
      <c r="Z82" s="107">
        <v>3001</v>
      </c>
      <c r="AA82" s="107"/>
      <c r="AB82" s="107"/>
      <c r="AE82" s="72" t="s">
        <v>348</v>
      </c>
    </row>
    <row r="83" s="72" customFormat="1" spans="1:31">
      <c r="A83" s="72">
        <v>5003</v>
      </c>
      <c r="B83" s="72">
        <v>0</v>
      </c>
      <c r="C83" s="72">
        <v>0</v>
      </c>
      <c r="D83" s="72" t="s">
        <v>265</v>
      </c>
      <c r="E83" s="72">
        <v>5003</v>
      </c>
      <c r="F83" s="72">
        <v>503</v>
      </c>
      <c r="G83" s="72">
        <v>6</v>
      </c>
      <c r="H83" s="72">
        <v>35003</v>
      </c>
      <c r="J83" s="83">
        <v>99999</v>
      </c>
      <c r="K83" s="43"/>
      <c r="L83" s="43"/>
      <c r="M83" s="43"/>
      <c r="N83" s="43"/>
      <c r="O83" s="72">
        <v>35003</v>
      </c>
      <c r="P83" s="72">
        <v>30541</v>
      </c>
      <c r="Q83" s="72">
        <v>0</v>
      </c>
      <c r="R83" s="72">
        <v>8</v>
      </c>
      <c r="S83" s="43" t="s">
        <v>237</v>
      </c>
      <c r="T83" s="106"/>
      <c r="V83" s="72">
        <v>1</v>
      </c>
      <c r="W83" s="72">
        <v>0</v>
      </c>
      <c r="X83" s="73">
        <v>0</v>
      </c>
      <c r="Y83" s="72">
        <v>1</v>
      </c>
      <c r="Z83" s="107">
        <v>3001</v>
      </c>
      <c r="AA83" s="107" t="s">
        <v>237</v>
      </c>
      <c r="AB83" s="107"/>
      <c r="AE83" s="72" t="s">
        <v>350</v>
      </c>
    </row>
    <row r="84" s="72" customFormat="1" spans="1:31">
      <c r="A84" s="72">
        <v>5004</v>
      </c>
      <c r="B84" s="72">
        <v>0</v>
      </c>
      <c r="C84" s="72">
        <v>0</v>
      </c>
      <c r="D84" s="72" t="s">
        <v>270</v>
      </c>
      <c r="E84" s="72">
        <v>5004</v>
      </c>
      <c r="F84" s="72">
        <v>504</v>
      </c>
      <c r="G84" s="72">
        <v>6</v>
      </c>
      <c r="H84" s="72">
        <v>35004</v>
      </c>
      <c r="J84" s="83">
        <v>99999</v>
      </c>
      <c r="K84" s="43"/>
      <c r="L84" s="43"/>
      <c r="M84" s="43"/>
      <c r="N84" s="43"/>
      <c r="O84" s="72">
        <v>35004</v>
      </c>
      <c r="P84" s="72">
        <v>30541</v>
      </c>
      <c r="Q84" s="72">
        <v>0</v>
      </c>
      <c r="R84" s="72">
        <v>8</v>
      </c>
      <c r="S84" s="43" t="s">
        <v>270</v>
      </c>
      <c r="T84" s="106"/>
      <c r="V84" s="72">
        <v>1</v>
      </c>
      <c r="W84" s="72">
        <v>0</v>
      </c>
      <c r="X84" s="73">
        <v>0</v>
      </c>
      <c r="Y84" s="72">
        <v>1</v>
      </c>
      <c r="Z84" s="107">
        <v>3001</v>
      </c>
      <c r="AA84" s="107" t="s">
        <v>270</v>
      </c>
      <c r="AB84" s="107"/>
      <c r="AE84" s="72" t="s">
        <v>351</v>
      </c>
    </row>
    <row r="85" s="72" customFormat="1" spans="1:31">
      <c r="A85" s="72">
        <v>5005</v>
      </c>
      <c r="B85" s="72">
        <v>0</v>
      </c>
      <c r="C85" s="72">
        <v>0</v>
      </c>
      <c r="D85" s="72" t="s">
        <v>277</v>
      </c>
      <c r="E85" s="72">
        <v>5005</v>
      </c>
      <c r="F85" s="72">
        <v>505</v>
      </c>
      <c r="G85" s="72">
        <v>6</v>
      </c>
      <c r="H85" s="72">
        <v>35005</v>
      </c>
      <c r="J85" s="83">
        <v>99999</v>
      </c>
      <c r="K85" s="43"/>
      <c r="L85" s="43"/>
      <c r="M85" s="43"/>
      <c r="N85" s="43"/>
      <c r="O85" s="72">
        <v>35005</v>
      </c>
      <c r="P85" s="72">
        <v>30541</v>
      </c>
      <c r="Q85" s="72">
        <v>0</v>
      </c>
      <c r="R85" s="72">
        <v>8</v>
      </c>
      <c r="S85" s="43" t="s">
        <v>277</v>
      </c>
      <c r="T85" s="106"/>
      <c r="V85" s="72">
        <v>1</v>
      </c>
      <c r="W85" s="72">
        <v>0</v>
      </c>
      <c r="X85" s="73">
        <v>0</v>
      </c>
      <c r="Y85" s="72">
        <v>1</v>
      </c>
      <c r="Z85" s="107">
        <v>3001</v>
      </c>
      <c r="AA85" s="107" t="s">
        <v>352</v>
      </c>
      <c r="AB85" s="107"/>
      <c r="AE85" s="72" t="s">
        <v>353</v>
      </c>
    </row>
    <row r="86" s="72" customFormat="1" spans="1:31">
      <c r="A86" s="72">
        <v>5006</v>
      </c>
      <c r="B86" s="72">
        <v>0</v>
      </c>
      <c r="C86" s="72">
        <v>0</v>
      </c>
      <c r="D86" s="72" t="s">
        <v>354</v>
      </c>
      <c r="E86" s="72">
        <v>5006</v>
      </c>
      <c r="F86" s="72">
        <v>506</v>
      </c>
      <c r="G86" s="72">
        <v>6</v>
      </c>
      <c r="H86" s="72">
        <v>35006</v>
      </c>
      <c r="J86" s="83">
        <v>99999</v>
      </c>
      <c r="K86" s="43"/>
      <c r="L86" s="43"/>
      <c r="M86" s="43"/>
      <c r="N86" s="43"/>
      <c r="O86" s="72">
        <v>35006</v>
      </c>
      <c r="P86" s="72">
        <v>30541</v>
      </c>
      <c r="Q86" s="72">
        <v>0</v>
      </c>
      <c r="R86" s="72">
        <v>8</v>
      </c>
      <c r="S86" s="43" t="s">
        <v>354</v>
      </c>
      <c r="T86" s="106"/>
      <c r="V86" s="72">
        <v>1</v>
      </c>
      <c r="W86" s="72">
        <v>0</v>
      </c>
      <c r="X86" s="73">
        <v>0</v>
      </c>
      <c r="Y86" s="72">
        <v>1</v>
      </c>
      <c r="Z86" s="107">
        <v>3001</v>
      </c>
      <c r="AA86" s="107" t="s">
        <v>354</v>
      </c>
      <c r="AB86" s="107"/>
      <c r="AE86" s="72" t="s">
        <v>355</v>
      </c>
    </row>
    <row r="87" s="72" customFormat="1" spans="1:31">
      <c r="A87" s="72">
        <v>5007</v>
      </c>
      <c r="B87" s="72">
        <v>0</v>
      </c>
      <c r="C87" s="72">
        <v>0</v>
      </c>
      <c r="D87" s="121" t="s">
        <v>356</v>
      </c>
      <c r="E87" s="121">
        <v>5007</v>
      </c>
      <c r="F87" s="72">
        <v>507</v>
      </c>
      <c r="G87" s="72">
        <v>6</v>
      </c>
      <c r="H87" s="72">
        <v>35007</v>
      </c>
      <c r="J87" s="83">
        <v>99999</v>
      </c>
      <c r="K87" s="43"/>
      <c r="L87" s="43"/>
      <c r="M87" s="43"/>
      <c r="N87" s="43"/>
      <c r="O87" s="72">
        <v>35007</v>
      </c>
      <c r="P87" s="72">
        <v>30541</v>
      </c>
      <c r="Q87" s="72">
        <v>0</v>
      </c>
      <c r="R87" s="72">
        <v>8</v>
      </c>
      <c r="S87" s="43" t="s">
        <v>356</v>
      </c>
      <c r="T87" s="106"/>
      <c r="V87" s="72">
        <v>1</v>
      </c>
      <c r="W87" s="72">
        <v>0</v>
      </c>
      <c r="X87" s="73">
        <v>0</v>
      </c>
      <c r="Y87" s="72">
        <v>1</v>
      </c>
      <c r="Z87" s="107">
        <v>3001</v>
      </c>
      <c r="AA87" s="107"/>
      <c r="AB87" s="107"/>
      <c r="AE87" s="72" t="s">
        <v>348</v>
      </c>
    </row>
    <row r="88" s="72" customFormat="1" spans="1:31">
      <c r="A88" s="72">
        <v>5008</v>
      </c>
      <c r="B88" s="72">
        <v>0</v>
      </c>
      <c r="C88" s="72">
        <v>0</v>
      </c>
      <c r="D88" s="72" t="s">
        <v>357</v>
      </c>
      <c r="E88" s="72">
        <v>5008</v>
      </c>
      <c r="F88" s="72">
        <v>508</v>
      </c>
      <c r="G88" s="72">
        <v>6</v>
      </c>
      <c r="H88" s="72">
        <v>35008</v>
      </c>
      <c r="J88" s="83">
        <v>99999</v>
      </c>
      <c r="K88" s="43"/>
      <c r="L88" s="43"/>
      <c r="M88" s="43"/>
      <c r="N88" s="43"/>
      <c r="O88" s="72">
        <v>35008</v>
      </c>
      <c r="P88" s="72">
        <v>30541</v>
      </c>
      <c r="Q88" s="72">
        <v>0</v>
      </c>
      <c r="R88" s="72">
        <v>8</v>
      </c>
      <c r="S88" s="43" t="s">
        <v>358</v>
      </c>
      <c r="T88" s="106"/>
      <c r="V88" s="72">
        <v>1</v>
      </c>
      <c r="W88" s="72">
        <v>0</v>
      </c>
      <c r="X88" s="73">
        <v>0</v>
      </c>
      <c r="Y88" s="72">
        <v>1</v>
      </c>
      <c r="Z88" s="107">
        <v>3001</v>
      </c>
      <c r="AA88" s="107"/>
      <c r="AB88" s="107"/>
      <c r="AE88" s="72" t="s">
        <v>348</v>
      </c>
    </row>
    <row r="89" s="72" customFormat="1" spans="1:31">
      <c r="A89" s="72">
        <v>5009</v>
      </c>
      <c r="B89" s="72">
        <v>0</v>
      </c>
      <c r="C89" s="72">
        <v>0</v>
      </c>
      <c r="D89" s="72" t="s">
        <v>359</v>
      </c>
      <c r="E89" s="72">
        <v>5009</v>
      </c>
      <c r="F89" s="72">
        <v>509</v>
      </c>
      <c r="G89" s="72">
        <v>6</v>
      </c>
      <c r="H89" s="72">
        <v>35009</v>
      </c>
      <c r="J89" s="83">
        <v>99999</v>
      </c>
      <c r="K89" s="43"/>
      <c r="L89" s="43"/>
      <c r="M89" s="43"/>
      <c r="N89" s="43"/>
      <c r="O89" s="72">
        <v>35009</v>
      </c>
      <c r="P89" s="72">
        <v>30541</v>
      </c>
      <c r="Q89" s="72">
        <v>0</v>
      </c>
      <c r="R89" s="72">
        <v>8</v>
      </c>
      <c r="S89" s="43" t="s">
        <v>359</v>
      </c>
      <c r="T89" s="106"/>
      <c r="V89" s="72">
        <v>1</v>
      </c>
      <c r="W89" s="72">
        <v>0</v>
      </c>
      <c r="X89" s="73">
        <v>0</v>
      </c>
      <c r="Y89" s="72">
        <v>1</v>
      </c>
      <c r="Z89" s="107">
        <v>3001</v>
      </c>
      <c r="AA89" s="107" t="s">
        <v>359</v>
      </c>
      <c r="AB89" s="107"/>
      <c r="AE89" s="72" t="s">
        <v>360</v>
      </c>
    </row>
    <row r="90" s="72" customFormat="1" spans="1:31">
      <c r="A90" s="72">
        <v>5010</v>
      </c>
      <c r="B90" s="72">
        <v>0</v>
      </c>
      <c r="C90" s="72">
        <v>0</v>
      </c>
      <c r="D90" s="72" t="s">
        <v>109</v>
      </c>
      <c r="E90" s="72">
        <v>5010</v>
      </c>
      <c r="F90" s="72">
        <v>510</v>
      </c>
      <c r="G90" s="72">
        <v>6</v>
      </c>
      <c r="H90" s="72">
        <v>35010</v>
      </c>
      <c r="J90" s="83">
        <v>99999</v>
      </c>
      <c r="K90" s="43"/>
      <c r="L90" s="43"/>
      <c r="M90" s="43"/>
      <c r="N90" s="43"/>
      <c r="O90" s="72">
        <v>35010</v>
      </c>
      <c r="P90" s="72">
        <v>30541</v>
      </c>
      <c r="Q90" s="72">
        <v>0</v>
      </c>
      <c r="R90" s="72">
        <v>8</v>
      </c>
      <c r="S90" s="43" t="s">
        <v>109</v>
      </c>
      <c r="T90" s="106"/>
      <c r="V90" s="72">
        <v>1</v>
      </c>
      <c r="W90" s="72">
        <v>0</v>
      </c>
      <c r="X90" s="73">
        <v>0</v>
      </c>
      <c r="Y90" s="72">
        <v>1</v>
      </c>
      <c r="Z90" s="107">
        <v>3001</v>
      </c>
      <c r="AA90" s="107" t="s">
        <v>109</v>
      </c>
      <c r="AB90" s="107"/>
      <c r="AE90" s="72" t="s">
        <v>361</v>
      </c>
    </row>
    <row r="91" s="72" customFormat="1" spans="1:31">
      <c r="A91" s="72">
        <v>5011</v>
      </c>
      <c r="B91" s="72">
        <v>0</v>
      </c>
      <c r="C91" s="72">
        <v>0</v>
      </c>
      <c r="D91" s="72" t="s">
        <v>114</v>
      </c>
      <c r="E91" s="72">
        <v>5011</v>
      </c>
      <c r="F91" s="72">
        <v>511</v>
      </c>
      <c r="G91" s="72">
        <v>6</v>
      </c>
      <c r="H91" s="72">
        <v>35011</v>
      </c>
      <c r="J91" s="83">
        <v>99999</v>
      </c>
      <c r="K91" s="43"/>
      <c r="L91" s="43"/>
      <c r="M91" s="43"/>
      <c r="N91" s="43"/>
      <c r="O91" s="72">
        <v>35011</v>
      </c>
      <c r="P91" s="72">
        <v>30541</v>
      </c>
      <c r="Q91" s="72">
        <v>0</v>
      </c>
      <c r="R91" s="72">
        <v>8</v>
      </c>
      <c r="S91" s="43" t="s">
        <v>114</v>
      </c>
      <c r="T91" s="106"/>
      <c r="V91" s="72">
        <v>1</v>
      </c>
      <c r="W91" s="72">
        <v>0</v>
      </c>
      <c r="X91" s="73">
        <v>0</v>
      </c>
      <c r="Y91" s="72">
        <v>1</v>
      </c>
      <c r="Z91" s="107">
        <v>3001</v>
      </c>
      <c r="AA91" s="107" t="s">
        <v>114</v>
      </c>
      <c r="AB91" s="107"/>
      <c r="AE91" s="72" t="s">
        <v>362</v>
      </c>
    </row>
    <row r="92" s="72" customFormat="1" spans="1:31">
      <c r="A92" s="72">
        <v>5012</v>
      </c>
      <c r="B92" s="72">
        <v>0</v>
      </c>
      <c r="C92" s="72">
        <v>0</v>
      </c>
      <c r="D92" s="72" t="s">
        <v>104</v>
      </c>
      <c r="E92" s="72">
        <v>5012</v>
      </c>
      <c r="F92" s="72">
        <v>512</v>
      </c>
      <c r="G92" s="72">
        <v>6</v>
      </c>
      <c r="H92" s="72">
        <v>35012</v>
      </c>
      <c r="J92" s="83">
        <v>99999</v>
      </c>
      <c r="K92" s="43"/>
      <c r="L92" s="43"/>
      <c r="M92" s="43"/>
      <c r="N92" s="43"/>
      <c r="O92" s="72">
        <v>35012</v>
      </c>
      <c r="P92" s="72">
        <v>30541</v>
      </c>
      <c r="Q92" s="72">
        <v>0</v>
      </c>
      <c r="R92" s="72">
        <v>8</v>
      </c>
      <c r="S92" s="43" t="s">
        <v>104</v>
      </c>
      <c r="T92" s="106"/>
      <c r="V92" s="72">
        <v>10</v>
      </c>
      <c r="W92" s="72">
        <v>0</v>
      </c>
      <c r="X92" s="73">
        <v>0</v>
      </c>
      <c r="Y92" s="72">
        <v>1</v>
      </c>
      <c r="Z92" s="107">
        <v>3001</v>
      </c>
      <c r="AA92" s="107" t="s">
        <v>104</v>
      </c>
      <c r="AB92" s="107"/>
      <c r="AE92" s="72" t="s">
        <v>363</v>
      </c>
    </row>
    <row r="93" s="72" customFormat="1" spans="1:31">
      <c r="A93" s="72">
        <v>5013</v>
      </c>
      <c r="B93" s="72">
        <v>0</v>
      </c>
      <c r="C93" s="72">
        <v>0</v>
      </c>
      <c r="D93" s="121" t="s">
        <v>344</v>
      </c>
      <c r="E93" s="121">
        <v>5013</v>
      </c>
      <c r="F93" s="72">
        <v>513</v>
      </c>
      <c r="G93" s="72">
        <v>6</v>
      </c>
      <c r="H93" s="72">
        <v>35013</v>
      </c>
      <c r="J93" s="83">
        <v>99999</v>
      </c>
      <c r="K93" s="43"/>
      <c r="L93" s="43"/>
      <c r="M93" s="43"/>
      <c r="N93" s="43"/>
      <c r="O93" s="72">
        <v>35013</v>
      </c>
      <c r="P93" s="72">
        <v>30541</v>
      </c>
      <c r="Q93" s="72">
        <v>0</v>
      </c>
      <c r="R93" s="72">
        <v>8</v>
      </c>
      <c r="S93" s="43" t="s">
        <v>344</v>
      </c>
      <c r="T93" s="106"/>
      <c r="V93" s="72">
        <v>1</v>
      </c>
      <c r="W93" s="72">
        <v>0</v>
      </c>
      <c r="X93" s="73">
        <v>0</v>
      </c>
      <c r="Y93" s="72">
        <v>1</v>
      </c>
      <c r="Z93" s="107">
        <v>3001</v>
      </c>
      <c r="AA93" s="107" t="s">
        <v>344</v>
      </c>
      <c r="AB93" s="107"/>
      <c r="AE93" s="72" t="s">
        <v>364</v>
      </c>
    </row>
    <row r="94" s="72" customFormat="1" spans="1:31">
      <c r="A94" s="72">
        <v>5014</v>
      </c>
      <c r="B94" s="72">
        <v>0</v>
      </c>
      <c r="C94" s="72">
        <v>0</v>
      </c>
      <c r="D94" s="121" t="s">
        <v>108</v>
      </c>
      <c r="E94" s="121">
        <v>5014</v>
      </c>
      <c r="F94" s="72">
        <v>514</v>
      </c>
      <c r="G94" s="72">
        <v>6</v>
      </c>
      <c r="H94" s="72">
        <v>35014</v>
      </c>
      <c r="J94" s="83">
        <v>99999</v>
      </c>
      <c r="K94" s="43"/>
      <c r="L94" s="43"/>
      <c r="M94" s="43"/>
      <c r="N94" s="43"/>
      <c r="O94" s="72">
        <v>35014</v>
      </c>
      <c r="P94" s="72">
        <v>30541</v>
      </c>
      <c r="Q94" s="72">
        <v>0</v>
      </c>
      <c r="R94" s="72">
        <v>8</v>
      </c>
      <c r="S94" s="43" t="s">
        <v>108</v>
      </c>
      <c r="T94" s="106"/>
      <c r="V94" s="72">
        <v>1</v>
      </c>
      <c r="W94" s="72">
        <v>0</v>
      </c>
      <c r="X94" s="73">
        <v>0</v>
      </c>
      <c r="Y94" s="72">
        <v>1</v>
      </c>
      <c r="Z94" s="107">
        <v>3001</v>
      </c>
      <c r="AA94" s="107"/>
      <c r="AB94" s="107"/>
      <c r="AE94" s="72" t="s">
        <v>348</v>
      </c>
    </row>
    <row r="95" s="72" customFormat="1" spans="1:31">
      <c r="A95" s="72">
        <v>5015</v>
      </c>
      <c r="B95" s="72">
        <v>0</v>
      </c>
      <c r="C95" s="72">
        <v>0</v>
      </c>
      <c r="D95" s="121" t="s">
        <v>365</v>
      </c>
      <c r="E95" s="121">
        <v>5015</v>
      </c>
      <c r="F95" s="72">
        <v>515</v>
      </c>
      <c r="G95" s="72">
        <v>6</v>
      </c>
      <c r="H95" s="72">
        <v>35015</v>
      </c>
      <c r="J95" s="83">
        <v>99999</v>
      </c>
      <c r="K95" s="43"/>
      <c r="L95" s="43"/>
      <c r="M95" s="43"/>
      <c r="N95" s="43"/>
      <c r="O95" s="72">
        <v>35015</v>
      </c>
      <c r="P95" s="72">
        <v>30541</v>
      </c>
      <c r="Q95" s="72">
        <v>0</v>
      </c>
      <c r="R95" s="72">
        <v>8</v>
      </c>
      <c r="S95" s="43" t="s">
        <v>365</v>
      </c>
      <c r="T95" s="106"/>
      <c r="V95" s="72">
        <v>1</v>
      </c>
      <c r="W95" s="72">
        <v>0</v>
      </c>
      <c r="X95" s="73">
        <v>0</v>
      </c>
      <c r="Y95" s="72">
        <v>1</v>
      </c>
      <c r="Z95" s="107">
        <v>3001</v>
      </c>
      <c r="AA95" s="107"/>
      <c r="AB95" s="107"/>
      <c r="AE95" s="72" t="s">
        <v>348</v>
      </c>
    </row>
    <row r="96" s="72" customFormat="1" spans="1:31">
      <c r="A96" s="72">
        <v>5016</v>
      </c>
      <c r="B96" s="72">
        <v>0</v>
      </c>
      <c r="C96" s="72">
        <v>0</v>
      </c>
      <c r="D96" s="72" t="s">
        <v>176</v>
      </c>
      <c r="E96" s="72">
        <v>5016</v>
      </c>
      <c r="F96" s="72">
        <v>516</v>
      </c>
      <c r="G96" s="72">
        <v>6</v>
      </c>
      <c r="H96" s="72">
        <v>35016</v>
      </c>
      <c r="J96" s="83">
        <v>99999</v>
      </c>
      <c r="K96" s="43"/>
      <c r="L96" s="43"/>
      <c r="M96" s="43"/>
      <c r="N96" s="43"/>
      <c r="O96" s="72">
        <v>35016</v>
      </c>
      <c r="P96" s="72">
        <v>30541</v>
      </c>
      <c r="Q96" s="72">
        <v>0</v>
      </c>
      <c r="R96" s="72">
        <v>8</v>
      </c>
      <c r="S96" s="43" t="s">
        <v>176</v>
      </c>
      <c r="T96" s="106"/>
      <c r="V96" s="72">
        <v>1</v>
      </c>
      <c r="W96" s="72">
        <v>0</v>
      </c>
      <c r="X96" s="73">
        <v>0</v>
      </c>
      <c r="Y96" s="72">
        <v>1</v>
      </c>
      <c r="Z96" s="107">
        <v>3001</v>
      </c>
      <c r="AA96" s="107" t="s">
        <v>176</v>
      </c>
      <c r="AB96" s="107"/>
      <c r="AE96" s="72" t="s">
        <v>366</v>
      </c>
    </row>
    <row r="97" s="72" customFormat="1" spans="1:31">
      <c r="A97" s="72">
        <v>5017</v>
      </c>
      <c r="B97" s="72">
        <v>0</v>
      </c>
      <c r="C97" s="72">
        <v>0</v>
      </c>
      <c r="D97" s="72" t="s">
        <v>367</v>
      </c>
      <c r="E97" s="72">
        <v>5017</v>
      </c>
      <c r="F97" s="72">
        <v>517</v>
      </c>
      <c r="G97" s="72">
        <v>6</v>
      </c>
      <c r="H97" s="72">
        <v>35017</v>
      </c>
      <c r="J97" s="83">
        <v>99999</v>
      </c>
      <c r="K97" s="43"/>
      <c r="L97" s="43"/>
      <c r="M97" s="43"/>
      <c r="N97" s="43"/>
      <c r="O97" s="72">
        <v>35017</v>
      </c>
      <c r="P97" s="72">
        <v>30541</v>
      </c>
      <c r="Q97" s="72">
        <v>0</v>
      </c>
      <c r="R97" s="72">
        <v>8</v>
      </c>
      <c r="S97" s="43" t="s">
        <v>367</v>
      </c>
      <c r="T97" s="106"/>
      <c r="V97" s="72">
        <v>1</v>
      </c>
      <c r="W97" s="72">
        <v>0</v>
      </c>
      <c r="X97" s="73">
        <v>0</v>
      </c>
      <c r="Y97" s="72">
        <v>1</v>
      </c>
      <c r="Z97" s="107">
        <v>3001</v>
      </c>
      <c r="AA97" s="107" t="s">
        <v>367</v>
      </c>
      <c r="AB97" s="107"/>
      <c r="AE97" s="72" t="s">
        <v>368</v>
      </c>
    </row>
    <row r="98" s="72" customFormat="1" spans="1:31">
      <c r="A98" s="72">
        <v>5018</v>
      </c>
      <c r="B98" s="72">
        <v>0</v>
      </c>
      <c r="C98" s="72">
        <v>0</v>
      </c>
      <c r="D98" s="72" t="s">
        <v>369</v>
      </c>
      <c r="E98" s="72">
        <v>5018</v>
      </c>
      <c r="F98" s="72">
        <v>518</v>
      </c>
      <c r="G98" s="72">
        <v>6</v>
      </c>
      <c r="H98" s="72">
        <v>35018</v>
      </c>
      <c r="J98" s="83">
        <v>99999</v>
      </c>
      <c r="K98" s="43"/>
      <c r="L98" s="43"/>
      <c r="M98" s="43"/>
      <c r="N98" s="43"/>
      <c r="O98" s="72">
        <v>35018</v>
      </c>
      <c r="P98" s="72">
        <v>30541</v>
      </c>
      <c r="Q98" s="72">
        <v>0</v>
      </c>
      <c r="R98" s="72">
        <v>8</v>
      </c>
      <c r="S98" s="43" t="s">
        <v>369</v>
      </c>
      <c r="T98" s="106"/>
      <c r="V98" s="72">
        <v>1</v>
      </c>
      <c r="W98" s="72">
        <v>0</v>
      </c>
      <c r="X98" s="73">
        <v>0</v>
      </c>
      <c r="Y98" s="72">
        <v>1</v>
      </c>
      <c r="Z98" s="107">
        <v>3001</v>
      </c>
      <c r="AA98" s="107" t="s">
        <v>369</v>
      </c>
      <c r="AB98" s="107"/>
      <c r="AE98" s="72" t="s">
        <v>370</v>
      </c>
    </row>
    <row r="99" s="72" customFormat="1" spans="1:31">
      <c r="A99" s="72">
        <v>5019</v>
      </c>
      <c r="B99" s="72">
        <v>0</v>
      </c>
      <c r="C99" s="72">
        <v>0</v>
      </c>
      <c r="D99" s="72" t="s">
        <v>371</v>
      </c>
      <c r="E99" s="72">
        <v>5019</v>
      </c>
      <c r="F99" s="72">
        <v>519</v>
      </c>
      <c r="G99" s="72">
        <v>6</v>
      </c>
      <c r="H99" s="72">
        <v>35019</v>
      </c>
      <c r="J99" s="83">
        <v>99999</v>
      </c>
      <c r="K99" s="43"/>
      <c r="L99" s="43"/>
      <c r="M99" s="43"/>
      <c r="N99" s="43"/>
      <c r="O99" s="72">
        <v>35019</v>
      </c>
      <c r="P99" s="72">
        <v>30541</v>
      </c>
      <c r="Q99" s="72">
        <v>0</v>
      </c>
      <c r="R99" s="72">
        <v>8</v>
      </c>
      <c r="S99" s="43" t="s">
        <v>371</v>
      </c>
      <c r="T99" s="106"/>
      <c r="V99" s="72">
        <v>1</v>
      </c>
      <c r="W99" s="72">
        <v>0</v>
      </c>
      <c r="X99" s="73">
        <v>0</v>
      </c>
      <c r="Y99" s="72">
        <v>1</v>
      </c>
      <c r="Z99" s="107">
        <v>3001</v>
      </c>
      <c r="AA99" s="107" t="s">
        <v>371</v>
      </c>
      <c r="AB99" s="107"/>
      <c r="AE99" s="72" t="s">
        <v>372</v>
      </c>
    </row>
    <row r="100" s="72" customFormat="1" spans="1:31">
      <c r="A100" s="72">
        <v>5020</v>
      </c>
      <c r="B100" s="72">
        <v>0</v>
      </c>
      <c r="C100" s="72">
        <v>0</v>
      </c>
      <c r="D100" s="72" t="s">
        <v>373</v>
      </c>
      <c r="E100" s="72">
        <v>5020</v>
      </c>
      <c r="F100" s="72">
        <v>520</v>
      </c>
      <c r="G100" s="72">
        <v>6</v>
      </c>
      <c r="H100" s="72">
        <v>35020</v>
      </c>
      <c r="J100" s="83">
        <v>99999</v>
      </c>
      <c r="K100" s="43"/>
      <c r="L100" s="43"/>
      <c r="M100" s="43"/>
      <c r="N100" s="43"/>
      <c r="O100" s="72">
        <v>35020</v>
      </c>
      <c r="P100" s="72">
        <v>30541</v>
      </c>
      <c r="Q100" s="72">
        <v>0</v>
      </c>
      <c r="R100" s="72">
        <v>8</v>
      </c>
      <c r="S100" s="43" t="s">
        <v>373</v>
      </c>
      <c r="T100" s="106"/>
      <c r="V100" s="72">
        <v>1</v>
      </c>
      <c r="W100" s="72">
        <v>0</v>
      </c>
      <c r="X100" s="73">
        <v>0</v>
      </c>
      <c r="Y100" s="72">
        <v>1</v>
      </c>
      <c r="Z100" s="107">
        <v>3001</v>
      </c>
      <c r="AA100" s="107" t="s">
        <v>373</v>
      </c>
      <c r="AB100" s="107"/>
      <c r="AE100" s="72" t="s">
        <v>374</v>
      </c>
    </row>
    <row r="101" s="72" customFormat="1" spans="1:31">
      <c r="A101" s="72">
        <v>5021</v>
      </c>
      <c r="B101" s="72">
        <v>0</v>
      </c>
      <c r="C101" s="72">
        <v>0</v>
      </c>
      <c r="D101" s="121" t="s">
        <v>221</v>
      </c>
      <c r="E101" s="121">
        <v>5021</v>
      </c>
      <c r="F101" s="72">
        <v>521</v>
      </c>
      <c r="G101" s="72">
        <v>6</v>
      </c>
      <c r="H101" s="72">
        <v>35021</v>
      </c>
      <c r="J101" s="83">
        <v>99999</v>
      </c>
      <c r="K101" s="43"/>
      <c r="L101" s="43"/>
      <c r="M101" s="43"/>
      <c r="N101" s="43"/>
      <c r="O101" s="72">
        <v>35021</v>
      </c>
      <c r="P101" s="72">
        <v>30541</v>
      </c>
      <c r="Q101" s="72">
        <v>0</v>
      </c>
      <c r="R101" s="72">
        <v>8</v>
      </c>
      <c r="S101" s="43" t="s">
        <v>221</v>
      </c>
      <c r="T101" s="106"/>
      <c r="V101" s="72">
        <v>1</v>
      </c>
      <c r="W101" s="72">
        <v>0</v>
      </c>
      <c r="X101" s="73">
        <v>0</v>
      </c>
      <c r="Y101" s="72">
        <v>1</v>
      </c>
      <c r="Z101" s="107">
        <v>3001</v>
      </c>
      <c r="AA101" s="107"/>
      <c r="AB101" s="107"/>
      <c r="AE101" s="72" t="s">
        <v>348</v>
      </c>
    </row>
    <row r="102" s="72" customFormat="1" spans="1:31">
      <c r="A102" s="72">
        <v>5022</v>
      </c>
      <c r="B102" s="72">
        <v>0</v>
      </c>
      <c r="C102" s="72">
        <v>0</v>
      </c>
      <c r="D102" s="121" t="s">
        <v>375</v>
      </c>
      <c r="E102" s="121">
        <v>5022</v>
      </c>
      <c r="F102" s="72">
        <v>522</v>
      </c>
      <c r="G102" s="72">
        <v>6</v>
      </c>
      <c r="H102" s="72">
        <v>35022</v>
      </c>
      <c r="J102" s="83">
        <v>99999</v>
      </c>
      <c r="K102" s="43"/>
      <c r="L102" s="43"/>
      <c r="M102" s="43"/>
      <c r="N102" s="43"/>
      <c r="O102" s="72">
        <v>35022</v>
      </c>
      <c r="P102" s="72">
        <v>30541</v>
      </c>
      <c r="Q102" s="72">
        <v>0</v>
      </c>
      <c r="R102" s="72">
        <v>8</v>
      </c>
      <c r="S102" s="43" t="s">
        <v>375</v>
      </c>
      <c r="T102" s="106"/>
      <c r="V102" s="72">
        <v>1</v>
      </c>
      <c r="W102" s="72">
        <v>0</v>
      </c>
      <c r="X102" s="73">
        <v>0</v>
      </c>
      <c r="Y102" s="72">
        <v>1</v>
      </c>
      <c r="Z102" s="107">
        <v>3001</v>
      </c>
      <c r="AA102" s="107"/>
      <c r="AB102" s="107"/>
      <c r="AE102" s="72" t="s">
        <v>348</v>
      </c>
    </row>
    <row r="103" s="72" customFormat="1" spans="1:31">
      <c r="A103" s="72">
        <v>5023</v>
      </c>
      <c r="B103" s="72">
        <v>0</v>
      </c>
      <c r="C103" s="72">
        <v>0</v>
      </c>
      <c r="D103" s="72" t="s">
        <v>191</v>
      </c>
      <c r="E103" s="72">
        <v>5023</v>
      </c>
      <c r="F103" s="72">
        <v>523</v>
      </c>
      <c r="G103" s="72">
        <v>6</v>
      </c>
      <c r="H103" s="72">
        <v>35023</v>
      </c>
      <c r="J103" s="83">
        <v>99999</v>
      </c>
      <c r="K103" s="43"/>
      <c r="L103" s="43"/>
      <c r="M103" s="43"/>
      <c r="N103" s="43"/>
      <c r="O103" s="72">
        <v>35023</v>
      </c>
      <c r="P103" s="72">
        <v>30541</v>
      </c>
      <c r="Q103" s="72">
        <v>0</v>
      </c>
      <c r="R103" s="72">
        <v>8</v>
      </c>
      <c r="S103" s="43" t="s">
        <v>191</v>
      </c>
      <c r="T103" s="106"/>
      <c r="V103" s="72">
        <v>1</v>
      </c>
      <c r="W103" s="72">
        <v>0</v>
      </c>
      <c r="X103" s="73">
        <v>0</v>
      </c>
      <c r="Y103" s="72">
        <v>1</v>
      </c>
      <c r="Z103" s="107">
        <v>3001</v>
      </c>
      <c r="AA103" s="107" t="s">
        <v>191</v>
      </c>
      <c r="AB103" s="107"/>
      <c r="AE103" s="72" t="s">
        <v>376</v>
      </c>
    </row>
    <row r="104" s="72" customFormat="1" spans="1:31">
      <c r="A104" s="72">
        <v>5024</v>
      </c>
      <c r="B104" s="72">
        <v>0</v>
      </c>
      <c r="C104" s="72">
        <v>0</v>
      </c>
      <c r="D104" s="72" t="s">
        <v>377</v>
      </c>
      <c r="E104" s="72">
        <v>5024</v>
      </c>
      <c r="F104" s="72">
        <v>524</v>
      </c>
      <c r="G104" s="72">
        <v>6</v>
      </c>
      <c r="H104" s="72">
        <v>35024</v>
      </c>
      <c r="J104" s="83">
        <v>99999</v>
      </c>
      <c r="K104" s="43"/>
      <c r="L104" s="43"/>
      <c r="M104" s="43"/>
      <c r="N104" s="43"/>
      <c r="O104" s="72">
        <v>35024</v>
      </c>
      <c r="P104" s="72">
        <v>30541</v>
      </c>
      <c r="Q104" s="72">
        <v>0</v>
      </c>
      <c r="R104" s="72">
        <v>8</v>
      </c>
      <c r="S104" s="43" t="s">
        <v>377</v>
      </c>
      <c r="T104" s="106"/>
      <c r="V104" s="72">
        <v>1</v>
      </c>
      <c r="W104" s="72">
        <v>0</v>
      </c>
      <c r="X104" s="73">
        <v>0</v>
      </c>
      <c r="Y104" s="72">
        <v>1</v>
      </c>
      <c r="Z104" s="107">
        <v>3001</v>
      </c>
      <c r="AA104" s="107" t="s">
        <v>377</v>
      </c>
      <c r="AB104" s="107"/>
      <c r="AE104" s="72" t="s">
        <v>378</v>
      </c>
    </row>
    <row r="105" s="72" customFormat="1" spans="1:31">
      <c r="A105" s="72">
        <v>5025</v>
      </c>
      <c r="B105" s="72">
        <v>0</v>
      </c>
      <c r="C105" s="72">
        <v>0</v>
      </c>
      <c r="D105" s="72" t="s">
        <v>379</v>
      </c>
      <c r="E105" s="72">
        <v>5025</v>
      </c>
      <c r="F105" s="72">
        <v>525</v>
      </c>
      <c r="G105" s="72">
        <v>6</v>
      </c>
      <c r="H105" s="72">
        <v>35025</v>
      </c>
      <c r="J105" s="83">
        <v>99999</v>
      </c>
      <c r="K105" s="43"/>
      <c r="L105" s="43"/>
      <c r="M105" s="43"/>
      <c r="N105" s="43"/>
      <c r="O105" s="72">
        <v>35025</v>
      </c>
      <c r="P105" s="72">
        <v>30541</v>
      </c>
      <c r="Q105" s="72">
        <v>0</v>
      </c>
      <c r="R105" s="72">
        <v>8</v>
      </c>
      <c r="S105" s="43" t="s">
        <v>379</v>
      </c>
      <c r="T105" s="106"/>
      <c r="V105" s="72">
        <v>1</v>
      </c>
      <c r="W105" s="72">
        <v>0</v>
      </c>
      <c r="X105" s="73">
        <v>0</v>
      </c>
      <c r="Y105" s="72">
        <v>1</v>
      </c>
      <c r="Z105" s="107">
        <v>3001</v>
      </c>
      <c r="AA105" s="107" t="s">
        <v>379</v>
      </c>
      <c r="AB105" s="107"/>
      <c r="AE105" s="72" t="s">
        <v>380</v>
      </c>
    </row>
    <row r="106" s="72" customFormat="1" spans="1:31">
      <c r="A106" s="72">
        <v>5026</v>
      </c>
      <c r="B106" s="72">
        <v>0</v>
      </c>
      <c r="C106" s="72">
        <v>0</v>
      </c>
      <c r="D106" s="72" t="s">
        <v>381</v>
      </c>
      <c r="E106" s="72">
        <v>5026</v>
      </c>
      <c r="F106" s="72">
        <v>526</v>
      </c>
      <c r="G106" s="72">
        <v>6</v>
      </c>
      <c r="H106" s="72">
        <v>35026</v>
      </c>
      <c r="J106" s="83">
        <v>99999</v>
      </c>
      <c r="K106" s="43"/>
      <c r="L106" s="43"/>
      <c r="M106" s="43"/>
      <c r="N106" s="43"/>
      <c r="O106" s="72">
        <v>35026</v>
      </c>
      <c r="P106" s="72">
        <v>30541</v>
      </c>
      <c r="Q106" s="72">
        <v>0</v>
      </c>
      <c r="R106" s="72">
        <v>8</v>
      </c>
      <c r="S106" s="43" t="s">
        <v>381</v>
      </c>
      <c r="T106" s="106"/>
      <c r="V106" s="72">
        <v>1</v>
      </c>
      <c r="W106" s="72">
        <v>0</v>
      </c>
      <c r="X106" s="73">
        <v>0</v>
      </c>
      <c r="Y106" s="72">
        <v>1</v>
      </c>
      <c r="Z106" s="107">
        <v>3001</v>
      </c>
      <c r="AA106" s="107" t="s">
        <v>381</v>
      </c>
      <c r="AB106" s="107"/>
      <c r="AE106" s="72" t="s">
        <v>382</v>
      </c>
    </row>
    <row r="107" s="72" customFormat="1" spans="1:31">
      <c r="A107" s="72">
        <v>5027</v>
      </c>
      <c r="B107" s="72">
        <v>0</v>
      </c>
      <c r="C107" s="72">
        <v>0</v>
      </c>
      <c r="D107" s="72" t="s">
        <v>383</v>
      </c>
      <c r="E107" s="72">
        <v>5027</v>
      </c>
      <c r="F107" s="72">
        <v>527</v>
      </c>
      <c r="G107" s="72">
        <v>6</v>
      </c>
      <c r="H107" s="72">
        <v>35027</v>
      </c>
      <c r="J107" s="83">
        <v>99999</v>
      </c>
      <c r="K107" s="43"/>
      <c r="L107" s="43"/>
      <c r="M107" s="43"/>
      <c r="N107" s="43"/>
      <c r="O107" s="72">
        <v>35027</v>
      </c>
      <c r="P107" s="72">
        <v>30541</v>
      </c>
      <c r="Q107" s="72">
        <v>0</v>
      </c>
      <c r="R107" s="72">
        <v>8</v>
      </c>
      <c r="S107" s="43" t="s">
        <v>384</v>
      </c>
      <c r="T107" s="106"/>
      <c r="V107" s="72">
        <v>1</v>
      </c>
      <c r="W107" s="72">
        <v>0</v>
      </c>
      <c r="X107" s="73">
        <v>0</v>
      </c>
      <c r="Y107" s="72">
        <v>1</v>
      </c>
      <c r="Z107" s="107">
        <v>3001</v>
      </c>
      <c r="AA107" s="107" t="s">
        <v>384</v>
      </c>
      <c r="AB107" s="107"/>
      <c r="AE107" s="72" t="s">
        <v>385</v>
      </c>
    </row>
    <row r="108" s="72" customFormat="1" spans="1:31">
      <c r="A108" s="72">
        <v>5028</v>
      </c>
      <c r="B108" s="72">
        <v>0</v>
      </c>
      <c r="C108" s="72">
        <v>0</v>
      </c>
      <c r="D108" s="121" t="s">
        <v>386</v>
      </c>
      <c r="E108" s="121">
        <v>5028</v>
      </c>
      <c r="F108" s="72">
        <v>528</v>
      </c>
      <c r="G108" s="72">
        <v>6</v>
      </c>
      <c r="H108" s="72">
        <v>35028</v>
      </c>
      <c r="J108" s="83">
        <v>99999</v>
      </c>
      <c r="K108" s="43"/>
      <c r="L108" s="43"/>
      <c r="M108" s="43"/>
      <c r="N108" s="43"/>
      <c r="O108" s="72">
        <v>35028</v>
      </c>
      <c r="P108" s="72">
        <v>30541</v>
      </c>
      <c r="Q108" s="72">
        <v>0</v>
      </c>
      <c r="R108" s="72">
        <v>8</v>
      </c>
      <c r="S108" s="43" t="s">
        <v>386</v>
      </c>
      <c r="T108" s="106"/>
      <c r="V108" s="72">
        <v>1</v>
      </c>
      <c r="W108" s="72">
        <v>0</v>
      </c>
      <c r="X108" s="73">
        <v>0</v>
      </c>
      <c r="Y108" s="72">
        <v>1</v>
      </c>
      <c r="Z108" s="107">
        <v>3001</v>
      </c>
      <c r="AA108" s="107"/>
      <c r="AB108" s="107"/>
      <c r="AE108" s="72" t="s">
        <v>348</v>
      </c>
    </row>
    <row r="109" s="72" customFormat="1" spans="1:31">
      <c r="A109" s="72">
        <v>5029</v>
      </c>
      <c r="B109" s="72">
        <v>0</v>
      </c>
      <c r="C109" s="72">
        <v>0</v>
      </c>
      <c r="D109" s="121" t="s">
        <v>387</v>
      </c>
      <c r="E109" s="121">
        <v>5029</v>
      </c>
      <c r="F109" s="72">
        <v>529</v>
      </c>
      <c r="G109" s="72">
        <v>6</v>
      </c>
      <c r="H109" s="72">
        <v>35029</v>
      </c>
      <c r="J109" s="83">
        <v>99999</v>
      </c>
      <c r="K109" s="43"/>
      <c r="L109" s="43"/>
      <c r="M109" s="43"/>
      <c r="N109" s="43"/>
      <c r="O109" s="72">
        <v>35029</v>
      </c>
      <c r="P109" s="72">
        <v>30541</v>
      </c>
      <c r="Q109" s="72">
        <v>0</v>
      </c>
      <c r="R109" s="72">
        <v>8</v>
      </c>
      <c r="S109" s="43" t="s">
        <v>387</v>
      </c>
      <c r="T109" s="106"/>
      <c r="V109" s="72">
        <v>10</v>
      </c>
      <c r="W109" s="72">
        <v>0</v>
      </c>
      <c r="X109" s="73">
        <v>0</v>
      </c>
      <c r="Y109" s="72">
        <v>1</v>
      </c>
      <c r="Z109" s="107">
        <v>3001</v>
      </c>
      <c r="AA109" s="107"/>
      <c r="AB109" s="107"/>
      <c r="AE109" s="72" t="s">
        <v>348</v>
      </c>
    </row>
    <row r="110" s="72" customFormat="1" spans="1:31">
      <c r="A110" s="72">
        <v>5030</v>
      </c>
      <c r="B110" s="72">
        <v>0</v>
      </c>
      <c r="C110" s="72">
        <v>0</v>
      </c>
      <c r="D110" s="72" t="s">
        <v>388</v>
      </c>
      <c r="E110" s="72">
        <v>5030</v>
      </c>
      <c r="F110" s="72">
        <v>530</v>
      </c>
      <c r="G110" s="72">
        <v>6</v>
      </c>
      <c r="H110" s="72">
        <v>35030</v>
      </c>
      <c r="J110" s="83">
        <v>99999</v>
      </c>
      <c r="K110" s="43"/>
      <c r="L110" s="43"/>
      <c r="M110" s="43"/>
      <c r="N110" s="43"/>
      <c r="O110" s="72">
        <v>35030</v>
      </c>
      <c r="P110" s="72">
        <v>30541</v>
      </c>
      <c r="Q110" s="72">
        <v>0</v>
      </c>
      <c r="R110" s="72">
        <v>8</v>
      </c>
      <c r="S110" s="43" t="s">
        <v>388</v>
      </c>
      <c r="T110" s="106"/>
      <c r="V110" s="72">
        <v>30</v>
      </c>
      <c r="W110" s="72">
        <v>0</v>
      </c>
      <c r="X110" s="73">
        <v>0</v>
      </c>
      <c r="Y110" s="72">
        <v>1</v>
      </c>
      <c r="Z110" s="107">
        <v>3001</v>
      </c>
      <c r="AA110" s="107" t="s">
        <v>388</v>
      </c>
      <c r="AB110" s="107"/>
      <c r="AE110" s="72" t="s">
        <v>389</v>
      </c>
    </row>
    <row r="111" s="72" customFormat="1" spans="1:31">
      <c r="A111" s="72">
        <v>5031</v>
      </c>
      <c r="B111" s="72">
        <v>0</v>
      </c>
      <c r="C111" s="72">
        <v>0</v>
      </c>
      <c r="D111" s="72" t="s">
        <v>312</v>
      </c>
      <c r="E111" s="72">
        <v>5031</v>
      </c>
      <c r="F111" s="72">
        <v>531</v>
      </c>
      <c r="G111" s="72">
        <v>6</v>
      </c>
      <c r="H111" s="72">
        <v>35031</v>
      </c>
      <c r="J111" s="83">
        <v>99999</v>
      </c>
      <c r="K111" s="43"/>
      <c r="L111" s="43"/>
      <c r="M111" s="43"/>
      <c r="N111" s="43"/>
      <c r="O111" s="72">
        <v>35031</v>
      </c>
      <c r="P111" s="72">
        <v>30541</v>
      </c>
      <c r="Q111" s="72">
        <v>0</v>
      </c>
      <c r="R111" s="72">
        <v>8</v>
      </c>
      <c r="S111" s="43" t="s">
        <v>312</v>
      </c>
      <c r="T111" s="106"/>
      <c r="V111" s="72">
        <v>30</v>
      </c>
      <c r="W111" s="72">
        <v>0</v>
      </c>
      <c r="X111" s="73">
        <v>0</v>
      </c>
      <c r="Y111" s="72">
        <v>1</v>
      </c>
      <c r="Z111" s="107">
        <v>3001</v>
      </c>
      <c r="AA111" s="107" t="s">
        <v>312</v>
      </c>
      <c r="AB111" s="107"/>
      <c r="AE111" s="72" t="s">
        <v>389</v>
      </c>
    </row>
    <row r="112" s="72" customFormat="1" spans="1:31">
      <c r="A112" s="72">
        <v>5032</v>
      </c>
      <c r="B112" s="72">
        <v>0</v>
      </c>
      <c r="C112" s="72">
        <v>0</v>
      </c>
      <c r="D112" s="72" t="s">
        <v>89</v>
      </c>
      <c r="E112" s="72">
        <v>5032</v>
      </c>
      <c r="F112" s="72">
        <v>532</v>
      </c>
      <c r="G112" s="72">
        <v>6</v>
      </c>
      <c r="H112" s="72">
        <v>35032</v>
      </c>
      <c r="J112" s="83">
        <v>99999</v>
      </c>
      <c r="K112" s="43"/>
      <c r="L112" s="43"/>
      <c r="M112" s="43"/>
      <c r="N112" s="43"/>
      <c r="O112" s="72">
        <v>35032</v>
      </c>
      <c r="P112" s="72">
        <v>30541</v>
      </c>
      <c r="Q112" s="72">
        <v>0</v>
      </c>
      <c r="R112" s="72">
        <v>8</v>
      </c>
      <c r="S112" s="43" t="s">
        <v>89</v>
      </c>
      <c r="T112" s="106"/>
      <c r="V112" s="72">
        <v>1</v>
      </c>
      <c r="W112" s="72">
        <v>0</v>
      </c>
      <c r="X112" s="73">
        <v>0</v>
      </c>
      <c r="Y112" s="72">
        <v>1</v>
      </c>
      <c r="Z112" s="107">
        <v>3001</v>
      </c>
      <c r="AA112" s="107" t="s">
        <v>89</v>
      </c>
      <c r="AB112" s="107"/>
      <c r="AE112" s="72" t="s">
        <v>389</v>
      </c>
    </row>
    <row r="113" s="72" customFormat="1" spans="1:31">
      <c r="A113" s="72">
        <v>5033</v>
      </c>
      <c r="B113" s="72">
        <v>0</v>
      </c>
      <c r="C113" s="72">
        <v>0</v>
      </c>
      <c r="D113" s="72" t="s">
        <v>390</v>
      </c>
      <c r="E113" s="72">
        <v>5033</v>
      </c>
      <c r="F113" s="72">
        <v>533</v>
      </c>
      <c r="G113" s="72">
        <v>6</v>
      </c>
      <c r="H113" s="72">
        <v>35033</v>
      </c>
      <c r="J113" s="83">
        <v>99999</v>
      </c>
      <c r="K113" s="43"/>
      <c r="L113" s="43"/>
      <c r="M113" s="43"/>
      <c r="N113" s="43"/>
      <c r="O113" s="72">
        <v>35033</v>
      </c>
      <c r="P113" s="72">
        <v>30541</v>
      </c>
      <c r="Q113" s="72">
        <v>0</v>
      </c>
      <c r="R113" s="72">
        <v>8</v>
      </c>
      <c r="S113" s="43" t="s">
        <v>390</v>
      </c>
      <c r="T113" s="106"/>
      <c r="V113" s="72">
        <v>30</v>
      </c>
      <c r="W113" s="72">
        <v>0</v>
      </c>
      <c r="X113" s="73">
        <v>0</v>
      </c>
      <c r="Y113" s="72">
        <v>1</v>
      </c>
      <c r="Z113" s="107">
        <v>3001</v>
      </c>
      <c r="AA113" s="107" t="s">
        <v>390</v>
      </c>
      <c r="AB113" s="107"/>
      <c r="AE113" s="72" t="s">
        <v>389</v>
      </c>
    </row>
    <row r="114" s="72" customFormat="1" spans="1:31">
      <c r="A114" s="72">
        <v>5034</v>
      </c>
      <c r="B114" s="72">
        <v>0</v>
      </c>
      <c r="C114" s="72">
        <v>0</v>
      </c>
      <c r="D114" s="72" t="s">
        <v>391</v>
      </c>
      <c r="E114" s="72">
        <v>5034</v>
      </c>
      <c r="F114" s="72">
        <v>534</v>
      </c>
      <c r="G114" s="72">
        <v>6</v>
      </c>
      <c r="H114" s="72">
        <v>35034</v>
      </c>
      <c r="J114" s="83">
        <v>99999</v>
      </c>
      <c r="K114" s="43"/>
      <c r="L114" s="43"/>
      <c r="M114" s="43"/>
      <c r="N114" s="43"/>
      <c r="O114" s="72">
        <v>35034</v>
      </c>
      <c r="P114" s="72">
        <v>30541</v>
      </c>
      <c r="Q114" s="72">
        <v>0</v>
      </c>
      <c r="R114" s="72">
        <v>8</v>
      </c>
      <c r="S114" s="43" t="s">
        <v>391</v>
      </c>
      <c r="T114" s="106"/>
      <c r="V114" s="72">
        <v>1</v>
      </c>
      <c r="W114" s="72">
        <v>0</v>
      </c>
      <c r="X114" s="73">
        <v>0</v>
      </c>
      <c r="Y114" s="72">
        <v>1</v>
      </c>
      <c r="Z114" s="107">
        <v>3001</v>
      </c>
      <c r="AA114" s="107"/>
      <c r="AB114" s="107"/>
    </row>
    <row r="115" s="72" customFormat="1" spans="1:31">
      <c r="A115" s="72">
        <v>5035</v>
      </c>
      <c r="B115" s="72">
        <v>0</v>
      </c>
      <c r="C115" s="72">
        <v>0</v>
      </c>
      <c r="D115" s="72" t="s">
        <v>392</v>
      </c>
      <c r="E115" s="72">
        <v>5035</v>
      </c>
      <c r="F115" s="72">
        <v>535</v>
      </c>
      <c r="G115" s="72">
        <v>6</v>
      </c>
      <c r="H115" s="72">
        <v>35035</v>
      </c>
      <c r="J115" s="83">
        <v>99999</v>
      </c>
      <c r="K115" s="43"/>
      <c r="L115" s="43"/>
      <c r="M115" s="43"/>
      <c r="N115" s="43"/>
      <c r="O115" s="72">
        <v>35035</v>
      </c>
      <c r="P115" s="72">
        <v>30541</v>
      </c>
      <c r="Q115" s="72">
        <v>0</v>
      </c>
      <c r="R115" s="72">
        <v>8</v>
      </c>
      <c r="S115" s="43" t="s">
        <v>392</v>
      </c>
      <c r="T115" s="106"/>
      <c r="V115" s="72">
        <v>1</v>
      </c>
      <c r="W115" s="72">
        <v>0</v>
      </c>
      <c r="X115" s="73">
        <v>0</v>
      </c>
      <c r="Y115" s="72">
        <v>1</v>
      </c>
      <c r="Z115" s="107">
        <v>3001</v>
      </c>
      <c r="AA115" s="107"/>
      <c r="AB115" s="107"/>
    </row>
    <row r="116" s="72" customFormat="1" spans="1:31">
      <c r="A116" s="72">
        <v>5036</v>
      </c>
      <c r="B116" s="72">
        <v>0</v>
      </c>
      <c r="C116" s="72">
        <v>0</v>
      </c>
      <c r="D116" s="72" t="s">
        <v>181</v>
      </c>
      <c r="E116" s="72">
        <v>5036</v>
      </c>
      <c r="F116" s="72">
        <v>536</v>
      </c>
      <c r="G116" s="72">
        <v>6</v>
      </c>
      <c r="H116" s="72">
        <v>35036</v>
      </c>
      <c r="J116" s="83">
        <v>99999</v>
      </c>
      <c r="K116" s="43"/>
      <c r="L116" s="43"/>
      <c r="M116" s="43"/>
      <c r="N116" s="43"/>
      <c r="O116" s="72">
        <v>35036</v>
      </c>
      <c r="P116" s="72">
        <v>30541</v>
      </c>
      <c r="Q116" s="72">
        <v>0</v>
      </c>
      <c r="R116" s="72">
        <v>8</v>
      </c>
      <c r="S116" s="43" t="s">
        <v>181</v>
      </c>
      <c r="T116" s="106"/>
      <c r="V116" s="72">
        <v>1</v>
      </c>
      <c r="W116" s="72">
        <v>0</v>
      </c>
      <c r="X116" s="73">
        <v>0</v>
      </c>
      <c r="Y116" s="72">
        <v>1</v>
      </c>
      <c r="Z116" s="107">
        <v>3001</v>
      </c>
      <c r="AA116" s="107"/>
      <c r="AB116" s="107"/>
    </row>
    <row r="117" s="72" customFormat="1" spans="1:31">
      <c r="A117" s="72">
        <v>5037</v>
      </c>
      <c r="B117" s="72">
        <v>0</v>
      </c>
      <c r="C117" s="72">
        <v>0</v>
      </c>
      <c r="D117" s="72" t="s">
        <v>186</v>
      </c>
      <c r="E117" s="72">
        <v>5037</v>
      </c>
      <c r="F117" s="72">
        <v>537</v>
      </c>
      <c r="G117" s="72">
        <v>6</v>
      </c>
      <c r="H117" s="72">
        <v>35037</v>
      </c>
      <c r="J117" s="83">
        <v>99999</v>
      </c>
      <c r="K117" s="43"/>
      <c r="L117" s="43"/>
      <c r="M117" s="43"/>
      <c r="N117" s="43"/>
      <c r="O117" s="72">
        <v>35037</v>
      </c>
      <c r="P117" s="72">
        <v>30541</v>
      </c>
      <c r="Q117" s="72">
        <v>0</v>
      </c>
      <c r="R117" s="72">
        <v>8</v>
      </c>
      <c r="S117" s="43" t="s">
        <v>186</v>
      </c>
      <c r="T117" s="106"/>
      <c r="V117" s="72">
        <v>1</v>
      </c>
      <c r="W117" s="72">
        <v>0</v>
      </c>
      <c r="X117" s="73">
        <v>0</v>
      </c>
      <c r="Y117" s="72">
        <v>1</v>
      </c>
      <c r="Z117" s="107">
        <v>3001</v>
      </c>
      <c r="AA117" s="107"/>
      <c r="AB117" s="107"/>
    </row>
    <row r="118" s="72" customFormat="1" spans="1:31">
      <c r="A118" s="72">
        <v>5038</v>
      </c>
      <c r="B118" s="72">
        <v>0</v>
      </c>
      <c r="C118" s="72">
        <v>0</v>
      </c>
      <c r="D118" s="72" t="s">
        <v>118</v>
      </c>
      <c r="E118" s="72">
        <v>5038</v>
      </c>
      <c r="F118" s="72">
        <v>538</v>
      </c>
      <c r="G118" s="72">
        <v>6</v>
      </c>
      <c r="H118" s="72">
        <v>35038</v>
      </c>
      <c r="J118" s="83">
        <v>99999</v>
      </c>
      <c r="K118" s="43"/>
      <c r="L118" s="43"/>
      <c r="M118" s="43"/>
      <c r="N118" s="43"/>
      <c r="O118" s="72">
        <v>35038</v>
      </c>
      <c r="P118" s="72">
        <v>30541</v>
      </c>
      <c r="Q118" s="72">
        <v>0</v>
      </c>
      <c r="R118" s="72">
        <v>8</v>
      </c>
      <c r="S118" s="43" t="s">
        <v>118</v>
      </c>
      <c r="T118" s="106"/>
      <c r="V118" s="72">
        <v>1</v>
      </c>
      <c r="W118" s="72">
        <v>0</v>
      </c>
      <c r="X118" s="73">
        <v>0</v>
      </c>
      <c r="Y118" s="72">
        <v>1</v>
      </c>
      <c r="Z118" s="107">
        <v>3001</v>
      </c>
      <c r="AA118" s="107"/>
      <c r="AB118" s="107"/>
    </row>
    <row r="119" s="72" customFormat="1" spans="1:31">
      <c r="A119" s="72">
        <v>5039</v>
      </c>
      <c r="B119" s="72">
        <v>0</v>
      </c>
      <c r="C119" s="72">
        <v>0</v>
      </c>
      <c r="D119" s="72" t="s">
        <v>147</v>
      </c>
      <c r="E119" s="72">
        <v>5039</v>
      </c>
      <c r="F119" s="72">
        <v>539</v>
      </c>
      <c r="G119" s="72">
        <v>6</v>
      </c>
      <c r="H119" s="72">
        <v>35039</v>
      </c>
      <c r="J119" s="83">
        <v>99999</v>
      </c>
      <c r="K119" s="43"/>
      <c r="L119" s="43"/>
      <c r="M119" s="43"/>
      <c r="N119" s="43"/>
      <c r="O119" s="72">
        <v>35039</v>
      </c>
      <c r="P119" s="72">
        <v>30541</v>
      </c>
      <c r="Q119" s="72">
        <v>0</v>
      </c>
      <c r="R119" s="72">
        <v>8</v>
      </c>
      <c r="S119" s="43" t="s">
        <v>147</v>
      </c>
      <c r="T119" s="106"/>
      <c r="V119" s="72">
        <v>1</v>
      </c>
      <c r="W119" s="72">
        <v>0</v>
      </c>
      <c r="X119" s="73">
        <v>0</v>
      </c>
      <c r="Y119" s="72">
        <v>1</v>
      </c>
      <c r="Z119" s="107">
        <v>3001</v>
      </c>
      <c r="AA119" s="107"/>
      <c r="AB119" s="107"/>
    </row>
    <row r="120" s="72" customFormat="1" spans="1:31">
      <c r="A120" s="72">
        <v>5040</v>
      </c>
      <c r="B120" s="72">
        <v>0</v>
      </c>
      <c r="C120" s="72">
        <v>0</v>
      </c>
      <c r="D120" s="72" t="s">
        <v>210</v>
      </c>
      <c r="E120" s="72">
        <v>5040</v>
      </c>
      <c r="F120" s="72">
        <v>540</v>
      </c>
      <c r="G120" s="72">
        <v>6</v>
      </c>
      <c r="H120" s="72">
        <v>35040</v>
      </c>
      <c r="J120" s="83">
        <v>99999</v>
      </c>
      <c r="K120" s="43"/>
      <c r="L120" s="43"/>
      <c r="M120" s="43"/>
      <c r="N120" s="43"/>
      <c r="O120" s="72">
        <v>35040</v>
      </c>
      <c r="P120" s="72">
        <v>30541</v>
      </c>
      <c r="Q120" s="72">
        <v>0</v>
      </c>
      <c r="R120" s="72">
        <v>8</v>
      </c>
      <c r="S120" s="43" t="s">
        <v>210</v>
      </c>
      <c r="T120" s="106"/>
      <c r="V120" s="72">
        <v>1</v>
      </c>
      <c r="W120" s="72">
        <v>0</v>
      </c>
      <c r="X120" s="73">
        <v>0</v>
      </c>
      <c r="Y120" s="72">
        <v>1</v>
      </c>
      <c r="Z120" s="107">
        <v>3001</v>
      </c>
      <c r="AA120" s="107"/>
      <c r="AB120" s="107"/>
    </row>
    <row r="121" s="72" customFormat="1" spans="1:31">
      <c r="A121" s="72">
        <v>5041</v>
      </c>
      <c r="B121" s="72">
        <v>0</v>
      </c>
      <c r="C121" s="72">
        <v>0</v>
      </c>
      <c r="D121" s="72" t="s">
        <v>244</v>
      </c>
      <c r="E121" s="72">
        <v>5041</v>
      </c>
      <c r="F121" s="72">
        <v>541</v>
      </c>
      <c r="G121" s="72">
        <v>6</v>
      </c>
      <c r="H121" s="72">
        <v>35041</v>
      </c>
      <c r="J121" s="83">
        <v>99999</v>
      </c>
      <c r="K121" s="43"/>
      <c r="L121" s="43"/>
      <c r="M121" s="43"/>
      <c r="N121" s="43"/>
      <c r="O121" s="72">
        <v>35041</v>
      </c>
      <c r="P121" s="72">
        <v>30541</v>
      </c>
      <c r="Q121" s="72">
        <v>0</v>
      </c>
      <c r="R121" s="72">
        <v>8</v>
      </c>
      <c r="S121" s="43" t="s">
        <v>244</v>
      </c>
      <c r="T121" s="106"/>
      <c r="V121" s="72">
        <v>1</v>
      </c>
      <c r="W121" s="72">
        <v>0</v>
      </c>
      <c r="X121" s="73">
        <v>0</v>
      </c>
      <c r="Y121" s="72">
        <v>1</v>
      </c>
      <c r="Z121" s="107">
        <v>3001</v>
      </c>
      <c r="AA121" s="107"/>
      <c r="AB121" s="107"/>
    </row>
    <row r="122" s="72" customFormat="1" spans="1:31">
      <c r="A122" s="72">
        <v>5042</v>
      </c>
      <c r="B122" s="72">
        <v>0</v>
      </c>
      <c r="C122" s="72">
        <v>0</v>
      </c>
      <c r="D122" s="72" t="s">
        <v>393</v>
      </c>
      <c r="E122" s="72">
        <v>5042</v>
      </c>
      <c r="F122" s="72">
        <v>542</v>
      </c>
      <c r="G122" s="72">
        <v>6</v>
      </c>
      <c r="H122" s="72">
        <v>35042</v>
      </c>
      <c r="J122" s="83">
        <v>99999</v>
      </c>
      <c r="K122" s="43"/>
      <c r="L122" s="43"/>
      <c r="M122" s="43"/>
      <c r="N122" s="43"/>
      <c r="O122" s="72">
        <v>35042</v>
      </c>
      <c r="P122" s="72">
        <v>30541</v>
      </c>
      <c r="Q122" s="72">
        <v>0</v>
      </c>
      <c r="R122" s="72">
        <v>8</v>
      </c>
      <c r="S122" s="43" t="s">
        <v>393</v>
      </c>
      <c r="T122" s="106"/>
      <c r="V122" s="72">
        <v>1</v>
      </c>
      <c r="W122" s="72">
        <v>0</v>
      </c>
      <c r="X122" s="73">
        <v>0</v>
      </c>
      <c r="Y122" s="72">
        <v>1</v>
      </c>
      <c r="Z122" s="107">
        <v>3001</v>
      </c>
      <c r="AA122" s="107"/>
      <c r="AB122" s="107"/>
    </row>
    <row r="123" s="72" customFormat="1" spans="1:31">
      <c r="A123" s="72">
        <v>5043</v>
      </c>
      <c r="B123" s="72">
        <v>0</v>
      </c>
      <c r="C123" s="72">
        <v>0</v>
      </c>
      <c r="D123" s="72" t="s">
        <v>123</v>
      </c>
      <c r="E123" s="72">
        <v>5043</v>
      </c>
      <c r="F123" s="72">
        <v>543</v>
      </c>
      <c r="G123" s="72">
        <v>6</v>
      </c>
      <c r="H123" s="72">
        <v>35043</v>
      </c>
      <c r="J123" s="83">
        <v>99999</v>
      </c>
      <c r="K123" s="43"/>
      <c r="L123" s="43"/>
      <c r="M123" s="43"/>
      <c r="N123" s="43"/>
      <c r="O123" s="72">
        <v>35043</v>
      </c>
      <c r="P123" s="72">
        <v>30541</v>
      </c>
      <c r="Q123" s="72">
        <v>0</v>
      </c>
      <c r="R123" s="72">
        <v>8</v>
      </c>
      <c r="S123" s="43" t="s">
        <v>123</v>
      </c>
      <c r="T123" s="106"/>
      <c r="V123" s="72">
        <v>1</v>
      </c>
      <c r="W123" s="72">
        <v>0</v>
      </c>
      <c r="X123" s="73">
        <v>0</v>
      </c>
      <c r="Y123" s="72">
        <v>1</v>
      </c>
      <c r="Z123" s="107">
        <v>3001</v>
      </c>
      <c r="AA123" s="107"/>
      <c r="AB123" s="107"/>
    </row>
    <row r="124" s="72" customFormat="1" spans="1:31">
      <c r="A124" s="72">
        <v>5044</v>
      </c>
      <c r="B124" s="72">
        <v>0</v>
      </c>
      <c r="C124" s="72">
        <v>0</v>
      </c>
      <c r="D124" s="72" t="s">
        <v>394</v>
      </c>
      <c r="E124" s="72">
        <v>5044</v>
      </c>
      <c r="F124" s="72">
        <v>544</v>
      </c>
      <c r="G124" s="72">
        <v>6</v>
      </c>
      <c r="H124" s="72">
        <v>35044</v>
      </c>
      <c r="J124" s="83">
        <v>99999</v>
      </c>
      <c r="K124" s="43"/>
      <c r="L124" s="43"/>
      <c r="M124" s="43"/>
      <c r="N124" s="43"/>
      <c r="O124" s="72">
        <v>35044</v>
      </c>
      <c r="P124" s="72">
        <v>30541</v>
      </c>
      <c r="Q124" s="72">
        <v>0</v>
      </c>
      <c r="R124" s="72">
        <v>8</v>
      </c>
      <c r="S124" s="43" t="s">
        <v>394</v>
      </c>
      <c r="T124" s="106"/>
      <c r="V124" s="72">
        <v>1</v>
      </c>
      <c r="W124" s="72">
        <v>0</v>
      </c>
      <c r="X124" s="73">
        <v>0</v>
      </c>
      <c r="Y124" s="72">
        <v>1</v>
      </c>
      <c r="Z124" s="107">
        <v>3001</v>
      </c>
      <c r="AA124" s="107"/>
      <c r="AB124" s="107"/>
    </row>
    <row r="125" s="72" customFormat="1" spans="1:31">
      <c r="A125" s="72">
        <v>5045</v>
      </c>
      <c r="B125" s="72">
        <v>0</v>
      </c>
      <c r="C125" s="72">
        <v>0</v>
      </c>
      <c r="D125" s="72" t="s">
        <v>395</v>
      </c>
      <c r="E125" s="72">
        <v>5045</v>
      </c>
      <c r="F125" s="72">
        <v>545</v>
      </c>
      <c r="G125" s="72">
        <v>6</v>
      </c>
      <c r="H125" s="72">
        <v>35045</v>
      </c>
      <c r="J125" s="83">
        <v>99999</v>
      </c>
      <c r="K125" s="43"/>
      <c r="L125" s="43"/>
      <c r="M125" s="43"/>
      <c r="N125" s="43"/>
      <c r="O125" s="72">
        <v>35045</v>
      </c>
      <c r="P125" s="72">
        <v>30541</v>
      </c>
      <c r="Q125" s="72">
        <v>0</v>
      </c>
      <c r="R125" s="72">
        <v>8</v>
      </c>
      <c r="S125" s="43" t="s">
        <v>395</v>
      </c>
      <c r="T125" s="106"/>
      <c r="V125" s="72">
        <v>1</v>
      </c>
      <c r="W125" s="72">
        <v>0</v>
      </c>
      <c r="X125" s="73">
        <v>0</v>
      </c>
      <c r="Y125" s="72">
        <v>1</v>
      </c>
      <c r="Z125" s="107">
        <v>3001</v>
      </c>
      <c r="AA125" s="107"/>
      <c r="AB125" s="107"/>
    </row>
    <row r="126" s="72" customFormat="1" spans="1:31">
      <c r="A126" s="72">
        <v>5046</v>
      </c>
      <c r="B126" s="72">
        <v>0</v>
      </c>
      <c r="C126" s="72">
        <v>0</v>
      </c>
      <c r="D126" s="72" t="s">
        <v>396</v>
      </c>
      <c r="E126" s="72">
        <v>5046</v>
      </c>
      <c r="F126" s="72">
        <v>546</v>
      </c>
      <c r="G126" s="72">
        <v>6</v>
      </c>
      <c r="H126" s="72">
        <v>35046</v>
      </c>
      <c r="J126" s="83">
        <v>99999</v>
      </c>
      <c r="K126" s="43"/>
      <c r="L126" s="43"/>
      <c r="M126" s="43"/>
      <c r="N126" s="43"/>
      <c r="O126" s="72">
        <v>35046</v>
      </c>
      <c r="P126" s="72">
        <v>30541</v>
      </c>
      <c r="Q126" s="72">
        <v>0</v>
      </c>
      <c r="R126" s="72">
        <v>8</v>
      </c>
      <c r="S126" s="43" t="s">
        <v>396</v>
      </c>
      <c r="T126" s="106"/>
      <c r="V126" s="72">
        <v>1</v>
      </c>
      <c r="W126" s="72">
        <v>0</v>
      </c>
      <c r="X126" s="73">
        <v>0</v>
      </c>
      <c r="Y126" s="72">
        <v>1</v>
      </c>
      <c r="Z126" s="107">
        <v>3001</v>
      </c>
      <c r="AA126" s="107"/>
      <c r="AB126" s="107"/>
    </row>
    <row r="127" s="72" customFormat="1" spans="1:31">
      <c r="A127" s="72">
        <v>5047</v>
      </c>
      <c r="B127" s="72">
        <v>0</v>
      </c>
      <c r="C127" s="72">
        <v>0</v>
      </c>
      <c r="D127" s="72" t="s">
        <v>397</v>
      </c>
      <c r="E127" s="72">
        <v>5047</v>
      </c>
      <c r="F127" s="72">
        <v>547</v>
      </c>
      <c r="G127" s="72">
        <v>6</v>
      </c>
      <c r="H127" s="72">
        <v>35047</v>
      </c>
      <c r="J127" s="83">
        <v>99999</v>
      </c>
      <c r="K127" s="43"/>
      <c r="L127" s="43"/>
      <c r="M127" s="43"/>
      <c r="N127" s="43"/>
      <c r="O127" s="72">
        <v>35047</v>
      </c>
      <c r="P127" s="72">
        <v>30541</v>
      </c>
      <c r="Q127" s="72">
        <v>0</v>
      </c>
      <c r="R127" s="72">
        <v>8</v>
      </c>
      <c r="S127" s="43" t="s">
        <v>397</v>
      </c>
      <c r="T127" s="106"/>
      <c r="V127" s="72">
        <v>1</v>
      </c>
      <c r="W127" s="72">
        <v>0</v>
      </c>
      <c r="X127" s="73">
        <v>0</v>
      </c>
      <c r="Y127" s="72">
        <v>1</v>
      </c>
      <c r="Z127" s="107">
        <v>3001</v>
      </c>
      <c r="AA127" s="107"/>
      <c r="AB127" s="107"/>
    </row>
    <row r="128" s="72" customFormat="1" spans="1:31">
      <c r="A128" s="72">
        <v>5048</v>
      </c>
      <c r="B128" s="72">
        <v>0</v>
      </c>
      <c r="C128" s="72">
        <v>0</v>
      </c>
      <c r="D128" s="72" t="s">
        <v>398</v>
      </c>
      <c r="E128" s="72">
        <v>5048</v>
      </c>
      <c r="F128" s="72">
        <v>548</v>
      </c>
      <c r="G128" s="72">
        <v>6</v>
      </c>
      <c r="H128" s="72">
        <v>35048</v>
      </c>
      <c r="J128" s="83">
        <v>99999</v>
      </c>
      <c r="K128" s="43"/>
      <c r="L128" s="43"/>
      <c r="M128" s="43"/>
      <c r="N128" s="43"/>
      <c r="O128" s="72">
        <v>35048</v>
      </c>
      <c r="P128" s="72">
        <v>30541</v>
      </c>
      <c r="Q128" s="72">
        <v>0</v>
      </c>
      <c r="R128" s="72">
        <v>8</v>
      </c>
      <c r="S128" s="43" t="s">
        <v>398</v>
      </c>
      <c r="T128" s="106"/>
      <c r="V128" s="72">
        <v>1</v>
      </c>
      <c r="W128" s="72">
        <v>0</v>
      </c>
      <c r="X128" s="73">
        <v>0</v>
      </c>
      <c r="Y128" s="72">
        <v>1</v>
      </c>
      <c r="Z128" s="107">
        <v>3001</v>
      </c>
      <c r="AA128" s="107"/>
      <c r="AB128" s="107"/>
    </row>
    <row r="129" s="72" customFormat="1" spans="1:28">
      <c r="A129" s="72">
        <v>5049</v>
      </c>
      <c r="B129" s="72">
        <v>0</v>
      </c>
      <c r="C129" s="72">
        <v>0</v>
      </c>
      <c r="D129" s="72" t="s">
        <v>399</v>
      </c>
      <c r="E129" s="72">
        <v>5049</v>
      </c>
      <c r="F129" s="72">
        <v>549</v>
      </c>
      <c r="G129" s="72">
        <v>6</v>
      </c>
      <c r="H129" s="72">
        <v>35049</v>
      </c>
      <c r="J129" s="83">
        <v>99999</v>
      </c>
      <c r="K129" s="43"/>
      <c r="L129" s="43"/>
      <c r="M129" s="43"/>
      <c r="N129" s="43"/>
      <c r="O129" s="72">
        <v>35049</v>
      </c>
      <c r="P129" s="72">
        <v>30541</v>
      </c>
      <c r="Q129" s="72">
        <v>0</v>
      </c>
      <c r="R129" s="72">
        <v>8</v>
      </c>
      <c r="S129" s="43" t="s">
        <v>399</v>
      </c>
      <c r="T129" s="106"/>
      <c r="V129" s="72">
        <v>1</v>
      </c>
      <c r="W129" s="72">
        <v>0</v>
      </c>
      <c r="X129" s="73">
        <v>0</v>
      </c>
      <c r="Y129" s="72">
        <v>1</v>
      </c>
      <c r="Z129" s="107">
        <v>3001</v>
      </c>
      <c r="AA129" s="107"/>
      <c r="AB129" s="107"/>
    </row>
    <row r="130" s="72" customFormat="1" spans="1:28">
      <c r="A130" s="72">
        <v>5050</v>
      </c>
      <c r="B130" s="72">
        <v>0</v>
      </c>
      <c r="C130" s="72">
        <v>0</v>
      </c>
      <c r="D130" s="72" t="s">
        <v>400</v>
      </c>
      <c r="E130" s="72">
        <v>5050</v>
      </c>
      <c r="F130" s="72">
        <v>550</v>
      </c>
      <c r="G130" s="72">
        <v>6</v>
      </c>
      <c r="H130" s="72">
        <v>35050</v>
      </c>
      <c r="J130" s="83">
        <v>99999</v>
      </c>
      <c r="K130" s="43"/>
      <c r="L130" s="43"/>
      <c r="M130" s="43"/>
      <c r="N130" s="43"/>
      <c r="O130" s="72">
        <v>35050</v>
      </c>
      <c r="P130" s="72">
        <v>30541</v>
      </c>
      <c r="Q130" s="72">
        <v>0</v>
      </c>
      <c r="R130" s="72">
        <v>8</v>
      </c>
      <c r="S130" s="43" t="s">
        <v>401</v>
      </c>
      <c r="T130" s="106"/>
      <c r="V130" s="72">
        <v>1</v>
      </c>
      <c r="W130" s="72">
        <v>0</v>
      </c>
      <c r="X130" s="73">
        <v>0</v>
      </c>
      <c r="Y130" s="72">
        <v>1</v>
      </c>
      <c r="Z130" s="107">
        <v>3001</v>
      </c>
      <c r="AA130" s="107"/>
      <c r="AB130" s="107"/>
    </row>
    <row r="131" s="72" customFormat="1" spans="1:28">
      <c r="A131" s="72">
        <v>5051</v>
      </c>
      <c r="B131" s="72">
        <v>0</v>
      </c>
      <c r="C131" s="72">
        <v>0</v>
      </c>
      <c r="D131" s="72" t="s">
        <v>402</v>
      </c>
      <c r="E131" s="72">
        <v>5051</v>
      </c>
      <c r="F131" s="72">
        <v>551</v>
      </c>
      <c r="G131" s="72">
        <v>6</v>
      </c>
      <c r="H131" s="72">
        <v>35051</v>
      </c>
      <c r="J131" s="83">
        <v>99999</v>
      </c>
      <c r="K131" s="43"/>
      <c r="L131" s="43"/>
      <c r="M131" s="43"/>
      <c r="N131" s="43"/>
      <c r="O131" s="72">
        <v>35051</v>
      </c>
      <c r="P131" s="72">
        <v>30541</v>
      </c>
      <c r="Q131" s="72">
        <v>0</v>
      </c>
      <c r="R131" s="72">
        <v>8</v>
      </c>
      <c r="S131" s="43" t="s">
        <v>402</v>
      </c>
      <c r="T131" s="106"/>
      <c r="V131" s="72">
        <v>1</v>
      </c>
      <c r="W131" s="72">
        <v>0</v>
      </c>
      <c r="X131" s="73">
        <v>0</v>
      </c>
      <c r="Y131" s="72">
        <v>1</v>
      </c>
      <c r="Z131" s="107">
        <v>3001</v>
      </c>
      <c r="AA131" s="107"/>
      <c r="AB131" s="107"/>
    </row>
    <row r="132" s="72" customFormat="1" spans="1:28">
      <c r="A132" s="72">
        <v>5052</v>
      </c>
      <c r="B132" s="72">
        <v>0</v>
      </c>
      <c r="C132" s="72">
        <v>0</v>
      </c>
      <c r="D132" s="72" t="s">
        <v>403</v>
      </c>
      <c r="E132" s="72">
        <v>5052</v>
      </c>
      <c r="F132" s="72">
        <v>552</v>
      </c>
      <c r="G132" s="72">
        <v>6</v>
      </c>
      <c r="H132" s="72">
        <v>35052</v>
      </c>
      <c r="J132" s="83">
        <v>99999</v>
      </c>
      <c r="K132" s="43"/>
      <c r="L132" s="43"/>
      <c r="M132" s="43"/>
      <c r="N132" s="43"/>
      <c r="O132" s="72">
        <v>35052</v>
      </c>
      <c r="P132" s="72">
        <v>30541</v>
      </c>
      <c r="Q132" s="72">
        <v>0</v>
      </c>
      <c r="R132" s="72">
        <v>8</v>
      </c>
      <c r="S132" s="43" t="s">
        <v>403</v>
      </c>
      <c r="T132" s="106"/>
      <c r="V132" s="72">
        <v>1</v>
      </c>
      <c r="W132" s="72">
        <v>0</v>
      </c>
      <c r="X132" s="73">
        <v>0</v>
      </c>
      <c r="Y132" s="72">
        <v>1</v>
      </c>
      <c r="Z132" s="107">
        <v>3001</v>
      </c>
      <c r="AA132" s="107"/>
      <c r="AB132" s="107"/>
    </row>
    <row r="133" s="72" customFormat="1" spans="1:28">
      <c r="A133" s="72">
        <v>5053</v>
      </c>
      <c r="B133" s="72">
        <v>0</v>
      </c>
      <c r="C133" s="72">
        <v>0</v>
      </c>
      <c r="D133" s="72" t="s">
        <v>404</v>
      </c>
      <c r="E133" s="72">
        <v>5053</v>
      </c>
      <c r="F133" s="72">
        <v>553</v>
      </c>
      <c r="G133" s="72">
        <v>6</v>
      </c>
      <c r="H133" s="72">
        <v>35053</v>
      </c>
      <c r="J133" s="83">
        <v>99999</v>
      </c>
      <c r="K133" s="43"/>
      <c r="L133" s="43"/>
      <c r="M133" s="43"/>
      <c r="N133" s="43"/>
      <c r="O133" s="72">
        <v>35053</v>
      </c>
      <c r="P133" s="72">
        <v>30541</v>
      </c>
      <c r="Q133" s="72">
        <v>0</v>
      </c>
      <c r="R133" s="72">
        <v>8</v>
      </c>
      <c r="S133" s="43" t="s">
        <v>404</v>
      </c>
      <c r="T133" s="106"/>
      <c r="V133" s="72">
        <v>10</v>
      </c>
      <c r="W133" s="72">
        <v>0</v>
      </c>
      <c r="X133" s="73">
        <v>0</v>
      </c>
      <c r="Y133" s="72">
        <v>1</v>
      </c>
      <c r="Z133" s="107">
        <v>3001</v>
      </c>
      <c r="AA133" s="107"/>
      <c r="AB133" s="107"/>
    </row>
    <row r="134" s="72" customFormat="1" spans="1:28">
      <c r="A134" s="72">
        <v>5054</v>
      </c>
      <c r="B134" s="72">
        <v>0</v>
      </c>
      <c r="C134" s="72">
        <v>0</v>
      </c>
      <c r="D134" s="72" t="s">
        <v>405</v>
      </c>
      <c r="E134" s="72">
        <v>5054</v>
      </c>
      <c r="F134" s="72">
        <v>554</v>
      </c>
      <c r="G134" s="72">
        <v>6</v>
      </c>
      <c r="H134" s="72">
        <v>35054</v>
      </c>
      <c r="J134" s="83">
        <v>99999</v>
      </c>
      <c r="K134" s="43"/>
      <c r="L134" s="43"/>
      <c r="M134" s="43"/>
      <c r="N134" s="43"/>
      <c r="O134" s="72">
        <v>35054</v>
      </c>
      <c r="P134" s="72">
        <v>30541</v>
      </c>
      <c r="Q134" s="72">
        <v>0</v>
      </c>
      <c r="R134" s="72">
        <v>8</v>
      </c>
      <c r="S134" s="43" t="s">
        <v>405</v>
      </c>
      <c r="T134" s="106"/>
      <c r="V134" s="72">
        <v>1</v>
      </c>
      <c r="W134" s="72">
        <v>0</v>
      </c>
      <c r="X134" s="73">
        <v>0</v>
      </c>
      <c r="Y134" s="72">
        <v>1</v>
      </c>
      <c r="Z134" s="107">
        <v>3001</v>
      </c>
      <c r="AA134" s="107"/>
      <c r="AB134" s="107"/>
    </row>
    <row r="135" s="72" customFormat="1" spans="1:28">
      <c r="A135" s="72">
        <v>5055</v>
      </c>
      <c r="B135" s="72">
        <v>0</v>
      </c>
      <c r="C135" s="72">
        <v>0</v>
      </c>
      <c r="D135" s="72" t="s">
        <v>406</v>
      </c>
      <c r="E135" s="72">
        <v>5055</v>
      </c>
      <c r="F135" s="72">
        <v>555</v>
      </c>
      <c r="G135" s="72">
        <v>6</v>
      </c>
      <c r="H135" s="72">
        <v>35055</v>
      </c>
      <c r="J135" s="83">
        <v>99999</v>
      </c>
      <c r="K135" s="43"/>
      <c r="L135" s="43"/>
      <c r="M135" s="43"/>
      <c r="N135" s="43"/>
      <c r="O135" s="72">
        <v>35055</v>
      </c>
      <c r="P135" s="72">
        <v>30541</v>
      </c>
      <c r="Q135" s="72">
        <v>0</v>
      </c>
      <c r="R135" s="72">
        <v>8</v>
      </c>
      <c r="S135" s="43" t="s">
        <v>406</v>
      </c>
      <c r="T135" s="106"/>
      <c r="V135" s="72">
        <v>10</v>
      </c>
      <c r="W135" s="72">
        <v>0</v>
      </c>
      <c r="X135" s="73">
        <v>0</v>
      </c>
      <c r="Y135" s="72">
        <v>1</v>
      </c>
      <c r="Z135" s="107">
        <v>3001</v>
      </c>
      <c r="AA135" s="107"/>
      <c r="AB135" s="107"/>
    </row>
    <row r="136" s="72" customFormat="1" spans="1:28">
      <c r="A136" s="72">
        <v>5056</v>
      </c>
      <c r="B136" s="72">
        <v>0</v>
      </c>
      <c r="C136" s="72">
        <v>0</v>
      </c>
      <c r="D136" s="72" t="s">
        <v>407</v>
      </c>
      <c r="E136" s="72">
        <v>5056</v>
      </c>
      <c r="F136" s="72">
        <v>556</v>
      </c>
      <c r="G136" s="72">
        <v>6</v>
      </c>
      <c r="H136" s="72">
        <v>35056</v>
      </c>
      <c r="J136" s="83">
        <v>99999</v>
      </c>
      <c r="K136" s="43"/>
      <c r="L136" s="43"/>
      <c r="M136" s="43"/>
      <c r="N136" s="43"/>
      <c r="O136" s="72">
        <v>35056</v>
      </c>
      <c r="P136" s="72">
        <v>30541</v>
      </c>
      <c r="Q136" s="72">
        <v>0</v>
      </c>
      <c r="R136" s="72">
        <v>8</v>
      </c>
      <c r="S136" s="43" t="s">
        <v>407</v>
      </c>
      <c r="T136" s="106"/>
      <c r="V136" s="72">
        <v>10</v>
      </c>
      <c r="W136" s="72">
        <v>0</v>
      </c>
      <c r="X136" s="73">
        <v>0</v>
      </c>
      <c r="Y136" s="72">
        <v>1</v>
      </c>
      <c r="Z136" s="107">
        <v>3002</v>
      </c>
      <c r="AA136" s="107"/>
      <c r="AB136" s="107"/>
    </row>
    <row r="137" s="72" customFormat="1" spans="1:28">
      <c r="A137" s="72">
        <v>5057</v>
      </c>
      <c r="B137" s="72">
        <v>0</v>
      </c>
      <c r="C137" s="72">
        <v>0</v>
      </c>
      <c r="D137" s="72" t="s">
        <v>408</v>
      </c>
      <c r="E137" s="72">
        <v>5057</v>
      </c>
      <c r="F137" s="72">
        <v>557</v>
      </c>
      <c r="G137" s="72">
        <v>6</v>
      </c>
      <c r="H137" s="72">
        <v>35057</v>
      </c>
      <c r="J137" s="83">
        <v>99999</v>
      </c>
      <c r="K137" s="43"/>
      <c r="L137" s="43"/>
      <c r="M137" s="43"/>
      <c r="N137" s="43"/>
      <c r="O137" s="72">
        <v>35057</v>
      </c>
      <c r="P137" s="72">
        <v>30541</v>
      </c>
      <c r="Q137" s="72">
        <v>0</v>
      </c>
      <c r="R137" s="72">
        <v>8</v>
      </c>
      <c r="S137" s="43" t="s">
        <v>408</v>
      </c>
      <c r="T137" s="106"/>
      <c r="V137" s="72">
        <v>1</v>
      </c>
      <c r="W137" s="72">
        <v>0</v>
      </c>
      <c r="X137" s="73">
        <v>0</v>
      </c>
      <c r="Y137" s="72">
        <v>1</v>
      </c>
      <c r="Z137" s="107">
        <v>3003</v>
      </c>
      <c r="AA137" s="107"/>
      <c r="AB137" s="107"/>
    </row>
    <row r="138" s="72" customFormat="1" spans="1:28">
      <c r="A138" s="72">
        <v>5058</v>
      </c>
      <c r="B138" s="72">
        <v>0</v>
      </c>
      <c r="C138" s="72">
        <v>0</v>
      </c>
      <c r="D138" s="72" t="s">
        <v>409</v>
      </c>
      <c r="E138" s="72">
        <v>5058</v>
      </c>
      <c r="F138" s="72">
        <v>558</v>
      </c>
      <c r="G138" s="72">
        <v>6</v>
      </c>
      <c r="H138" s="72">
        <v>35058</v>
      </c>
      <c r="J138" s="83">
        <v>99999</v>
      </c>
      <c r="K138" s="43"/>
      <c r="L138" s="43"/>
      <c r="M138" s="43"/>
      <c r="N138" s="43"/>
      <c r="O138" s="72">
        <v>35058</v>
      </c>
      <c r="P138" s="72">
        <v>30541</v>
      </c>
      <c r="Q138" s="72">
        <v>0</v>
      </c>
      <c r="R138" s="72">
        <v>8</v>
      </c>
      <c r="S138" s="43" t="s">
        <v>409</v>
      </c>
      <c r="T138" s="106"/>
      <c r="V138" s="72">
        <v>1</v>
      </c>
      <c r="W138" s="72">
        <v>0</v>
      </c>
      <c r="X138" s="73">
        <v>0</v>
      </c>
      <c r="Y138" s="72">
        <v>1</v>
      </c>
      <c r="Z138" s="107">
        <v>3004</v>
      </c>
      <c r="AA138" s="107"/>
      <c r="AB138" s="107"/>
    </row>
    <row r="139" s="72" customFormat="1" spans="1:28">
      <c r="A139" s="72">
        <v>5059</v>
      </c>
      <c r="B139" s="72">
        <v>0</v>
      </c>
      <c r="C139" s="72">
        <v>0</v>
      </c>
      <c r="D139" s="72" t="s">
        <v>410</v>
      </c>
      <c r="E139" s="72">
        <v>5059</v>
      </c>
      <c r="F139" s="72">
        <v>559</v>
      </c>
      <c r="G139" s="72">
        <v>6</v>
      </c>
      <c r="H139" s="72">
        <v>35059</v>
      </c>
      <c r="J139" s="83">
        <v>99999</v>
      </c>
      <c r="K139" s="43"/>
      <c r="L139" s="43"/>
      <c r="M139" s="43"/>
      <c r="N139" s="43"/>
      <c r="O139" s="72">
        <v>35059</v>
      </c>
      <c r="P139" s="72">
        <v>30541</v>
      </c>
      <c r="Q139" s="72">
        <v>0</v>
      </c>
      <c r="R139" s="72">
        <v>8</v>
      </c>
      <c r="S139" s="43" t="s">
        <v>410</v>
      </c>
      <c r="T139" s="106"/>
      <c r="V139" s="72">
        <v>1</v>
      </c>
      <c r="W139" s="72">
        <v>0</v>
      </c>
      <c r="X139" s="73">
        <v>0</v>
      </c>
      <c r="Y139" s="72">
        <v>1</v>
      </c>
      <c r="Z139" s="107">
        <v>3005</v>
      </c>
      <c r="AA139" s="107"/>
      <c r="AB139" s="107"/>
    </row>
    <row r="140" s="72" customFormat="1" spans="1:28">
      <c r="A140" s="72">
        <v>5060</v>
      </c>
      <c r="B140" s="72">
        <v>0</v>
      </c>
      <c r="C140" s="72">
        <v>0</v>
      </c>
      <c r="D140" s="72" t="s">
        <v>411</v>
      </c>
      <c r="E140" s="72">
        <v>5060</v>
      </c>
      <c r="F140" s="72">
        <v>560</v>
      </c>
      <c r="G140" s="72">
        <v>6</v>
      </c>
      <c r="H140" s="72">
        <v>35060</v>
      </c>
      <c r="J140" s="83">
        <v>99999</v>
      </c>
      <c r="K140" s="43"/>
      <c r="L140" s="43"/>
      <c r="M140" s="43"/>
      <c r="N140" s="43"/>
      <c r="O140" s="72">
        <v>35060</v>
      </c>
      <c r="P140" s="72">
        <v>30541</v>
      </c>
      <c r="Q140" s="72">
        <v>0</v>
      </c>
      <c r="R140" s="72">
        <v>8</v>
      </c>
      <c r="S140" s="43" t="s">
        <v>411</v>
      </c>
      <c r="T140" s="106"/>
      <c r="V140" s="72">
        <v>1</v>
      </c>
      <c r="W140" s="72">
        <v>0</v>
      </c>
      <c r="X140" s="73">
        <v>0</v>
      </c>
      <c r="Y140" s="72">
        <v>1</v>
      </c>
      <c r="Z140" s="107">
        <v>3006</v>
      </c>
      <c r="AA140" s="107"/>
      <c r="AB140" s="107"/>
    </row>
    <row r="141" s="72" customFormat="1" spans="1:28">
      <c r="A141" s="72">
        <v>5061</v>
      </c>
      <c r="B141" s="72">
        <v>0</v>
      </c>
      <c r="C141" s="72">
        <v>0</v>
      </c>
      <c r="D141" s="72" t="s">
        <v>412</v>
      </c>
      <c r="E141" s="72">
        <v>5061</v>
      </c>
      <c r="F141" s="72">
        <v>561</v>
      </c>
      <c r="G141" s="72">
        <v>6</v>
      </c>
      <c r="H141" s="72">
        <v>35061</v>
      </c>
      <c r="J141" s="83">
        <v>99999</v>
      </c>
      <c r="K141" s="43"/>
      <c r="L141" s="43"/>
      <c r="M141" s="43"/>
      <c r="N141" s="43"/>
      <c r="O141" s="72">
        <v>35061</v>
      </c>
      <c r="P141" s="72">
        <v>30541</v>
      </c>
      <c r="Q141" s="72">
        <v>0</v>
      </c>
      <c r="R141" s="72">
        <v>8</v>
      </c>
      <c r="S141" s="43" t="s">
        <v>412</v>
      </c>
      <c r="T141" s="106"/>
      <c r="V141" s="72">
        <v>10</v>
      </c>
      <c r="W141" s="72">
        <v>0</v>
      </c>
      <c r="X141" s="73">
        <v>0</v>
      </c>
      <c r="Y141" s="72">
        <v>1</v>
      </c>
      <c r="Z141" s="107">
        <v>3007</v>
      </c>
      <c r="AA141" s="107"/>
      <c r="AB141" s="107"/>
    </row>
    <row r="142" s="72" customFormat="1" spans="1:28">
      <c r="A142" s="72">
        <v>5062</v>
      </c>
      <c r="B142" s="72">
        <v>0</v>
      </c>
      <c r="C142" s="72">
        <v>0</v>
      </c>
      <c r="D142" s="72" t="s">
        <v>413</v>
      </c>
      <c r="E142" s="72">
        <v>5062</v>
      </c>
      <c r="F142" s="72">
        <v>562</v>
      </c>
      <c r="G142" s="72">
        <v>6</v>
      </c>
      <c r="H142" s="72">
        <v>35062</v>
      </c>
      <c r="J142" s="83">
        <v>99999</v>
      </c>
      <c r="K142" s="43"/>
      <c r="L142" s="43"/>
      <c r="M142" s="43"/>
      <c r="N142" s="43"/>
      <c r="O142" s="72">
        <v>35062</v>
      </c>
      <c r="P142" s="72">
        <v>30541</v>
      </c>
      <c r="Q142" s="72">
        <v>0</v>
      </c>
      <c r="R142" s="72">
        <v>8</v>
      </c>
      <c r="S142" s="43" t="s">
        <v>108</v>
      </c>
      <c r="T142" s="106"/>
      <c r="V142" s="72">
        <v>30</v>
      </c>
      <c r="W142" s="72">
        <v>0</v>
      </c>
      <c r="X142" s="73">
        <v>0</v>
      </c>
      <c r="Y142" s="72">
        <v>1</v>
      </c>
      <c r="Z142" s="107">
        <v>3008</v>
      </c>
      <c r="AA142" s="107"/>
      <c r="AB142" s="107"/>
    </row>
    <row r="143" s="72" customFormat="1" spans="1:28">
      <c r="A143" s="72">
        <v>5063</v>
      </c>
      <c r="B143" s="72">
        <v>0</v>
      </c>
      <c r="C143" s="72">
        <v>0</v>
      </c>
      <c r="D143" s="72" t="s">
        <v>414</v>
      </c>
      <c r="E143" s="72">
        <v>5063</v>
      </c>
      <c r="F143" s="72">
        <v>563</v>
      </c>
      <c r="G143" s="72">
        <v>6</v>
      </c>
      <c r="H143" s="72">
        <v>35063</v>
      </c>
      <c r="J143" s="83">
        <v>99999</v>
      </c>
      <c r="K143" s="43"/>
      <c r="L143" s="43"/>
      <c r="M143" s="43"/>
      <c r="N143" s="43"/>
      <c r="O143" s="72">
        <v>35063</v>
      </c>
      <c r="P143" s="72">
        <v>30541</v>
      </c>
      <c r="Q143" s="72">
        <v>0</v>
      </c>
      <c r="R143" s="72">
        <v>8</v>
      </c>
      <c r="S143" s="43" t="s">
        <v>414</v>
      </c>
      <c r="T143" s="106"/>
      <c r="V143" s="72">
        <v>1</v>
      </c>
      <c r="W143" s="72">
        <v>0</v>
      </c>
      <c r="X143" s="73">
        <v>0</v>
      </c>
      <c r="Y143" s="72">
        <v>1</v>
      </c>
      <c r="Z143" s="107">
        <v>3009</v>
      </c>
      <c r="AA143" s="107"/>
      <c r="AB143" s="107"/>
    </row>
    <row r="144" s="72" customFormat="1" spans="1:28">
      <c r="A144" s="72">
        <v>5064</v>
      </c>
      <c r="B144" s="72">
        <v>0</v>
      </c>
      <c r="C144" s="72">
        <v>0</v>
      </c>
      <c r="D144" s="72" t="s">
        <v>415</v>
      </c>
      <c r="E144" s="72">
        <v>5064</v>
      </c>
      <c r="F144" s="72">
        <v>564</v>
      </c>
      <c r="G144" s="72">
        <v>6</v>
      </c>
      <c r="H144" s="72">
        <v>35064</v>
      </c>
      <c r="J144" s="83">
        <v>99999</v>
      </c>
      <c r="K144" s="43"/>
      <c r="L144" s="43"/>
      <c r="M144" s="43"/>
      <c r="N144" s="43"/>
      <c r="O144" s="72">
        <v>35064</v>
      </c>
      <c r="P144" s="72">
        <v>30541</v>
      </c>
      <c r="Q144" s="72">
        <v>0</v>
      </c>
      <c r="R144" s="72">
        <v>8</v>
      </c>
      <c r="S144" s="43" t="s">
        <v>415</v>
      </c>
      <c r="T144" s="106"/>
      <c r="V144" s="72">
        <v>1</v>
      </c>
      <c r="W144" s="72">
        <v>0</v>
      </c>
      <c r="X144" s="73">
        <v>0</v>
      </c>
      <c r="Y144" s="72">
        <v>1</v>
      </c>
      <c r="Z144" s="107">
        <v>3010</v>
      </c>
      <c r="AA144" s="107"/>
      <c r="AB144" s="107"/>
    </row>
    <row r="145" s="72" customFormat="1" spans="1:28">
      <c r="A145" s="72">
        <v>5065</v>
      </c>
      <c r="B145" s="72">
        <v>0</v>
      </c>
      <c r="C145" s="72">
        <v>0</v>
      </c>
      <c r="D145" s="72" t="s">
        <v>416</v>
      </c>
      <c r="E145" s="72">
        <v>5065</v>
      </c>
      <c r="F145" s="72">
        <v>565</v>
      </c>
      <c r="G145" s="72">
        <v>6</v>
      </c>
      <c r="H145" s="72">
        <v>35065</v>
      </c>
      <c r="J145" s="83">
        <v>99999</v>
      </c>
      <c r="K145" s="43"/>
      <c r="L145" s="43"/>
      <c r="M145" s="43"/>
      <c r="N145" s="43"/>
      <c r="O145" s="72">
        <v>35065</v>
      </c>
      <c r="P145" s="72">
        <v>30541</v>
      </c>
      <c r="Q145" s="72">
        <v>0</v>
      </c>
      <c r="R145" s="72">
        <v>8</v>
      </c>
      <c r="S145" s="43" t="s">
        <v>416</v>
      </c>
      <c r="T145" s="106"/>
      <c r="V145" s="72">
        <v>1</v>
      </c>
      <c r="W145" s="72">
        <v>0</v>
      </c>
      <c r="X145" s="73">
        <v>0</v>
      </c>
      <c r="Y145" s="72">
        <v>1</v>
      </c>
      <c r="Z145" s="107">
        <v>3011</v>
      </c>
      <c r="AA145" s="107"/>
      <c r="AB145" s="107"/>
    </row>
    <row r="146" s="72" customFormat="1" spans="1:28">
      <c r="A146" s="72">
        <v>5066</v>
      </c>
      <c r="B146" s="72">
        <v>0</v>
      </c>
      <c r="C146" s="72">
        <v>0</v>
      </c>
      <c r="D146" s="72" t="s">
        <v>417</v>
      </c>
      <c r="E146" s="72">
        <v>5066</v>
      </c>
      <c r="F146" s="72">
        <v>566</v>
      </c>
      <c r="G146" s="72">
        <v>6</v>
      </c>
      <c r="H146" s="72">
        <v>35066</v>
      </c>
      <c r="J146" s="83">
        <v>99999</v>
      </c>
      <c r="K146" s="43"/>
      <c r="L146" s="43"/>
      <c r="M146" s="43"/>
      <c r="N146" s="43"/>
      <c r="O146" s="72">
        <v>35066</v>
      </c>
      <c r="P146" s="72">
        <v>30541</v>
      </c>
      <c r="Q146" s="72">
        <v>0</v>
      </c>
      <c r="R146" s="72">
        <v>8</v>
      </c>
      <c r="S146" s="43" t="s">
        <v>417</v>
      </c>
      <c r="T146" s="106"/>
      <c r="V146" s="72">
        <v>1</v>
      </c>
      <c r="W146" s="72">
        <v>0</v>
      </c>
      <c r="X146" s="73">
        <v>0</v>
      </c>
      <c r="Y146" s="72">
        <v>1</v>
      </c>
      <c r="Z146" s="107">
        <v>3012</v>
      </c>
      <c r="AA146" s="107"/>
      <c r="AB146" s="107"/>
    </row>
    <row r="147" s="76" customFormat="1" spans="1:28">
      <c r="A147" s="76">
        <v>5067</v>
      </c>
      <c r="B147" s="76">
        <v>0</v>
      </c>
      <c r="C147" s="76">
        <v>0</v>
      </c>
      <c r="D147" s="76" t="s">
        <v>418</v>
      </c>
      <c r="E147" s="76">
        <v>5067</v>
      </c>
      <c r="F147" s="76">
        <v>567</v>
      </c>
      <c r="G147" s="76">
        <v>6</v>
      </c>
      <c r="H147" s="76">
        <v>35067</v>
      </c>
      <c r="J147" s="76">
        <v>99999</v>
      </c>
      <c r="K147" s="92"/>
      <c r="L147" s="92"/>
      <c r="M147" s="92"/>
      <c r="N147" s="92"/>
      <c r="O147" s="76">
        <v>35067</v>
      </c>
      <c r="P147" s="76">
        <v>30541</v>
      </c>
      <c r="Q147" s="76">
        <v>0</v>
      </c>
      <c r="R147" s="76">
        <v>8</v>
      </c>
      <c r="S147" s="92"/>
      <c r="T147" s="93"/>
      <c r="V147" s="76">
        <v>1</v>
      </c>
      <c r="W147" s="76">
        <v>0</v>
      </c>
      <c r="X147" s="76">
        <v>0</v>
      </c>
      <c r="Y147" s="76">
        <v>1</v>
      </c>
      <c r="Z147" s="122">
        <v>3009</v>
      </c>
      <c r="AA147" s="122"/>
      <c r="AB147" s="122"/>
    </row>
    <row r="148" s="76" customFormat="1" spans="1:28">
      <c r="A148" s="76">
        <v>5068</v>
      </c>
      <c r="B148" s="76">
        <v>0</v>
      </c>
      <c r="C148" s="76">
        <v>0</v>
      </c>
      <c r="D148" s="76" t="s">
        <v>419</v>
      </c>
      <c r="E148" s="76">
        <v>5068</v>
      </c>
      <c r="F148" s="76">
        <v>568</v>
      </c>
      <c r="G148" s="76">
        <v>6</v>
      </c>
      <c r="H148" s="76">
        <v>35068</v>
      </c>
      <c r="J148" s="76">
        <v>99999</v>
      </c>
      <c r="K148" s="92"/>
      <c r="L148" s="92"/>
      <c r="M148" s="92"/>
      <c r="N148" s="92"/>
      <c r="O148" s="76">
        <v>35068</v>
      </c>
      <c r="P148" s="76">
        <v>30541</v>
      </c>
      <c r="Q148" s="76">
        <v>0</v>
      </c>
      <c r="R148" s="76">
        <v>8</v>
      </c>
      <c r="S148" s="92"/>
      <c r="T148" s="93"/>
      <c r="V148" s="76">
        <v>1</v>
      </c>
      <c r="W148" s="76">
        <v>0</v>
      </c>
      <c r="X148" s="76">
        <v>0</v>
      </c>
      <c r="Y148" s="76">
        <v>1</v>
      </c>
      <c r="Z148" s="122">
        <v>3009</v>
      </c>
      <c r="AA148" s="122"/>
      <c r="AB148" s="122"/>
    </row>
    <row r="149" s="76" customFormat="1" spans="1:28">
      <c r="A149" s="76">
        <v>5069</v>
      </c>
      <c r="B149" s="76">
        <v>0</v>
      </c>
      <c r="C149" s="76">
        <v>0</v>
      </c>
      <c r="D149" s="76" t="s">
        <v>420</v>
      </c>
      <c r="E149" s="76">
        <v>5069</v>
      </c>
      <c r="F149" s="76">
        <v>569</v>
      </c>
      <c r="G149" s="76">
        <v>6</v>
      </c>
      <c r="H149" s="76">
        <v>35069</v>
      </c>
      <c r="J149" s="76">
        <v>99999</v>
      </c>
      <c r="K149" s="92"/>
      <c r="L149" s="92"/>
      <c r="M149" s="92"/>
      <c r="N149" s="92"/>
      <c r="O149" s="76">
        <v>35069</v>
      </c>
      <c r="P149" s="76">
        <v>30541</v>
      </c>
      <c r="Q149" s="76">
        <v>0</v>
      </c>
      <c r="R149" s="76">
        <v>8</v>
      </c>
      <c r="S149" s="92"/>
      <c r="T149" s="93"/>
      <c r="V149" s="76">
        <v>1</v>
      </c>
      <c r="W149" s="76">
        <v>0</v>
      </c>
      <c r="X149" s="76">
        <v>0</v>
      </c>
      <c r="Y149" s="76">
        <v>1</v>
      </c>
      <c r="Z149" s="122">
        <v>3009</v>
      </c>
      <c r="AA149" s="122"/>
      <c r="AB149" s="122"/>
    </row>
    <row r="150" s="76" customFormat="1" spans="1:28">
      <c r="A150" s="76">
        <v>5070</v>
      </c>
      <c r="B150" s="76">
        <v>0</v>
      </c>
      <c r="C150" s="76">
        <v>0</v>
      </c>
      <c r="D150" s="76" t="s">
        <v>421</v>
      </c>
      <c r="E150" s="76">
        <v>5070</v>
      </c>
      <c r="F150" s="76">
        <v>570</v>
      </c>
      <c r="G150" s="76">
        <v>6</v>
      </c>
      <c r="H150" s="76">
        <v>35070</v>
      </c>
      <c r="J150" s="76">
        <v>99999</v>
      </c>
      <c r="K150" s="92"/>
      <c r="L150" s="92"/>
      <c r="M150" s="92"/>
      <c r="N150" s="92"/>
      <c r="O150" s="76">
        <v>35070</v>
      </c>
      <c r="P150" s="76">
        <v>30541</v>
      </c>
      <c r="Q150" s="76">
        <v>0</v>
      </c>
      <c r="R150" s="76">
        <v>8</v>
      </c>
      <c r="S150" s="92"/>
      <c r="T150" s="93"/>
      <c r="V150" s="76">
        <v>1</v>
      </c>
      <c r="W150" s="76">
        <v>0</v>
      </c>
      <c r="X150" s="76">
        <v>0</v>
      </c>
      <c r="Y150" s="76">
        <v>1</v>
      </c>
      <c r="Z150" s="122">
        <v>3009</v>
      </c>
      <c r="AA150" s="122"/>
      <c r="AB150" s="122"/>
    </row>
    <row r="151" s="76" customFormat="1" spans="1:28">
      <c r="A151" s="76">
        <v>5071</v>
      </c>
      <c r="B151" s="76">
        <v>0</v>
      </c>
      <c r="C151" s="76">
        <v>0</v>
      </c>
      <c r="D151" s="76" t="s">
        <v>422</v>
      </c>
      <c r="E151" s="76">
        <v>5071</v>
      </c>
      <c r="F151" s="76">
        <v>571</v>
      </c>
      <c r="G151" s="76">
        <v>6</v>
      </c>
      <c r="H151" s="76">
        <v>35071</v>
      </c>
      <c r="J151" s="76">
        <v>99999</v>
      </c>
      <c r="K151" s="92"/>
      <c r="L151" s="92"/>
      <c r="M151" s="92"/>
      <c r="N151" s="92"/>
      <c r="O151" s="76">
        <v>35071</v>
      </c>
      <c r="P151" s="76">
        <v>30541</v>
      </c>
      <c r="Q151" s="76">
        <v>0</v>
      </c>
      <c r="R151" s="76">
        <v>8</v>
      </c>
      <c r="S151" s="92"/>
      <c r="T151" s="93"/>
      <c r="V151" s="76">
        <v>1</v>
      </c>
      <c r="W151" s="76">
        <v>0</v>
      </c>
      <c r="X151" s="76">
        <v>0</v>
      </c>
      <c r="Y151" s="76">
        <v>1</v>
      </c>
      <c r="Z151" s="122">
        <v>3009</v>
      </c>
      <c r="AA151" s="122"/>
      <c r="AB151" s="122"/>
    </row>
    <row r="152" s="76" customFormat="1" spans="1:28">
      <c r="A152" s="76">
        <v>5072</v>
      </c>
      <c r="B152" s="76">
        <v>0</v>
      </c>
      <c r="C152" s="76">
        <v>0</v>
      </c>
      <c r="D152" s="76" t="s">
        <v>423</v>
      </c>
      <c r="E152" s="76">
        <v>5072</v>
      </c>
      <c r="F152" s="76">
        <v>572</v>
      </c>
      <c r="G152" s="76">
        <v>6</v>
      </c>
      <c r="H152" s="76">
        <v>35072</v>
      </c>
      <c r="J152" s="76">
        <v>99999</v>
      </c>
      <c r="K152" s="92"/>
      <c r="L152" s="92"/>
      <c r="M152" s="92"/>
      <c r="N152" s="92"/>
      <c r="O152" s="76">
        <v>35072</v>
      </c>
      <c r="P152" s="76">
        <v>30541</v>
      </c>
      <c r="Q152" s="76">
        <v>0</v>
      </c>
      <c r="R152" s="76">
        <v>8</v>
      </c>
      <c r="S152" s="92"/>
      <c r="T152" s="93"/>
      <c r="V152" s="76">
        <v>1</v>
      </c>
      <c r="W152" s="76">
        <v>0</v>
      </c>
      <c r="X152" s="76">
        <v>0</v>
      </c>
      <c r="Y152" s="76">
        <v>1</v>
      </c>
      <c r="Z152" s="122">
        <v>3009</v>
      </c>
      <c r="AA152" s="122"/>
      <c r="AB152" s="122"/>
    </row>
    <row r="153" s="76" customFormat="1" spans="1:28">
      <c r="A153" s="76">
        <v>5073</v>
      </c>
      <c r="B153" s="76">
        <v>0</v>
      </c>
      <c r="C153" s="76">
        <v>0</v>
      </c>
      <c r="D153" s="76" t="s">
        <v>304</v>
      </c>
      <c r="E153" s="76">
        <v>5073</v>
      </c>
      <c r="F153" s="76">
        <v>573</v>
      </c>
      <c r="G153" s="76">
        <v>6</v>
      </c>
      <c r="H153" s="76">
        <v>35073</v>
      </c>
      <c r="J153" s="76">
        <v>99999</v>
      </c>
      <c r="K153" s="92"/>
      <c r="L153" s="92"/>
      <c r="M153" s="92"/>
      <c r="N153" s="92"/>
      <c r="O153" s="76">
        <v>35073</v>
      </c>
      <c r="P153" s="76">
        <v>30541</v>
      </c>
      <c r="Q153" s="76">
        <v>0</v>
      </c>
      <c r="R153" s="76">
        <v>8</v>
      </c>
      <c r="S153" s="92"/>
      <c r="T153" s="93"/>
      <c r="V153" s="76">
        <v>1</v>
      </c>
      <c r="W153" s="76">
        <v>0</v>
      </c>
      <c r="X153" s="76">
        <v>0</v>
      </c>
      <c r="Y153" s="76">
        <v>1</v>
      </c>
      <c r="Z153" s="122">
        <v>3009</v>
      </c>
      <c r="AA153" s="122"/>
      <c r="AB153" s="122"/>
    </row>
  </sheetData>
  <autoFilter xmlns:etc="http://www.wps.cn/officeDocument/2017/etCustomData" ref="A1:AE15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K106"/>
  <sheetViews>
    <sheetView tabSelected="1" workbookViewId="0">
      <pane xSplit="4" ySplit="4" topLeftCell="H83" activePane="bottomRight" state="frozen"/>
      <selection/>
      <selection pane="topRight"/>
      <selection pane="bottomLeft"/>
      <selection pane="bottomRight" activeCell="H105" sqref="H105"/>
    </sheetView>
  </sheetViews>
  <sheetFormatPr defaultColWidth="9" defaultRowHeight="14.25"/>
  <cols>
    <col min="1" max="2" width="6" style="33" customWidth="1"/>
    <col min="3" max="3" width="8.125" style="33" customWidth="1"/>
    <col min="4" max="4" width="12.3083333333333" style="33" customWidth="1"/>
    <col min="5" max="5" width="6.25" style="33" customWidth="1"/>
    <col min="6" max="6" width="5.625" style="39" customWidth="1"/>
    <col min="7" max="7" width="5.375" style="39" customWidth="1"/>
    <col min="8" max="8" width="40.325" style="39" customWidth="1"/>
    <col min="9" max="9" width="44.7" style="39" customWidth="1"/>
    <col min="10" max="10" width="35.975" style="39" customWidth="1"/>
    <col min="11" max="11" width="12" style="39" customWidth="1"/>
    <col min="12" max="13" width="17" style="39" customWidth="1"/>
    <col min="14" max="14" width="21.875" style="39" customWidth="1"/>
    <col min="15" max="15" width="10.875" style="39" customWidth="1"/>
    <col min="16" max="16" width="6.25" style="33" customWidth="1"/>
    <col min="17" max="18" width="11.25" style="39" customWidth="1"/>
    <col min="19" max="19" width="11" style="39" customWidth="1"/>
    <col min="20" max="20" width="7.375" style="39" customWidth="1"/>
    <col min="21" max="22" width="15.375" style="39" customWidth="1"/>
    <col min="23" max="23" width="10.375" style="39" customWidth="1"/>
    <col min="24" max="24" width="13.125" style="39" customWidth="1"/>
    <col min="25" max="25" width="9.125" style="39" customWidth="1"/>
    <col min="26" max="27" width="9.625" style="39" customWidth="1"/>
    <col min="28" max="28" width="19.75" style="39" customWidth="1"/>
    <col min="29" max="29" width="17.375" style="39" customWidth="1"/>
    <col min="30" max="30" width="49.375" style="39" customWidth="1"/>
    <col min="31" max="31" width="20.6416666666667" style="39" customWidth="1"/>
    <col min="32" max="32" width="25" style="39" customWidth="1"/>
    <col min="33" max="33" width="19.5" style="39" customWidth="1"/>
    <col min="34" max="34" width="14.125" style="39" customWidth="1"/>
    <col min="35" max="35" width="14.75" style="39" customWidth="1"/>
    <col min="36" max="36" width="9" style="33"/>
    <col min="37" max="16384" width="9" style="23"/>
  </cols>
  <sheetData>
    <row r="1" spans="1:36">
      <c r="A1" s="40" t="s">
        <v>14</v>
      </c>
      <c r="B1" s="40" t="s">
        <v>424</v>
      </c>
      <c r="C1" s="40"/>
      <c r="D1" s="40" t="s">
        <v>425</v>
      </c>
      <c r="E1" s="40" t="s">
        <v>426</v>
      </c>
      <c r="F1" s="40" t="s">
        <v>427</v>
      </c>
      <c r="G1" s="40" t="s">
        <v>428</v>
      </c>
      <c r="H1" s="40" t="s">
        <v>429</v>
      </c>
      <c r="I1" s="40" t="s">
        <v>430</v>
      </c>
      <c r="J1" s="40" t="s">
        <v>431</v>
      </c>
      <c r="K1" s="40" t="s">
        <v>432</v>
      </c>
      <c r="L1" s="40"/>
      <c r="M1" s="40"/>
      <c r="N1" s="40" t="s">
        <v>433</v>
      </c>
      <c r="O1" s="41" t="s">
        <v>434</v>
      </c>
      <c r="P1" s="40" t="s">
        <v>435</v>
      </c>
      <c r="Q1" s="40" t="s">
        <v>436</v>
      </c>
      <c r="R1" s="40" t="s">
        <v>437</v>
      </c>
      <c r="S1" s="40" t="s">
        <v>438</v>
      </c>
      <c r="T1" s="40" t="s">
        <v>439</v>
      </c>
      <c r="U1" s="42" t="s">
        <v>440</v>
      </c>
      <c r="V1" s="42" t="s">
        <v>441</v>
      </c>
      <c r="W1" s="42" t="s">
        <v>442</v>
      </c>
      <c r="X1" s="42" t="s">
        <v>443</v>
      </c>
      <c r="Y1" s="42" t="s">
        <v>444</v>
      </c>
      <c r="Z1" s="42" t="s">
        <v>445</v>
      </c>
      <c r="AA1" s="42" t="s">
        <v>446</v>
      </c>
      <c r="AB1" s="43" t="s">
        <v>447</v>
      </c>
      <c r="AC1" s="43" t="s">
        <v>448</v>
      </c>
      <c r="AD1" s="43" t="s">
        <v>449</v>
      </c>
      <c r="AE1" s="43" t="s">
        <v>450</v>
      </c>
      <c r="AF1" s="40" t="s">
        <v>451</v>
      </c>
      <c r="AG1" s="40" t="s">
        <v>452</v>
      </c>
      <c r="AH1" s="40" t="s">
        <v>453</v>
      </c>
      <c r="AI1" s="40"/>
      <c r="AJ1" s="40" t="s">
        <v>454</v>
      </c>
    </row>
    <row r="2" spans="1:36">
      <c r="A2" s="40" t="s">
        <v>29</v>
      </c>
      <c r="B2" s="40" t="s">
        <v>455</v>
      </c>
      <c r="C2" s="40"/>
      <c r="D2" s="40" t="s">
        <v>456</v>
      </c>
      <c r="E2" s="40" t="s">
        <v>457</v>
      </c>
      <c r="F2" s="40" t="s">
        <v>458</v>
      </c>
      <c r="G2" s="40" t="s">
        <v>459</v>
      </c>
      <c r="H2" s="40" t="s">
        <v>460</v>
      </c>
      <c r="I2" s="40" t="s">
        <v>461</v>
      </c>
      <c r="J2" s="40" t="s">
        <v>462</v>
      </c>
      <c r="K2" s="40" t="s">
        <v>463</v>
      </c>
      <c r="L2" s="40"/>
      <c r="M2" s="40"/>
      <c r="N2" s="40" t="s">
        <v>464</v>
      </c>
      <c r="O2" s="41" t="s">
        <v>465</v>
      </c>
      <c r="P2" s="40" t="s">
        <v>466</v>
      </c>
      <c r="Q2" s="40" t="s">
        <v>467</v>
      </c>
      <c r="R2" s="40" t="s">
        <v>468</v>
      </c>
      <c r="S2" s="40" t="s">
        <v>469</v>
      </c>
      <c r="T2" s="40" t="s">
        <v>33</v>
      </c>
      <c r="U2" s="42" t="s">
        <v>470</v>
      </c>
      <c r="V2" s="42" t="s">
        <v>471</v>
      </c>
      <c r="W2" s="42" t="s">
        <v>472</v>
      </c>
      <c r="X2" s="42" t="s">
        <v>473</v>
      </c>
      <c r="Y2" s="42" t="s">
        <v>474</v>
      </c>
      <c r="Z2" s="42" t="s">
        <v>475</v>
      </c>
      <c r="AA2" s="42" t="s">
        <v>476</v>
      </c>
      <c r="AB2" s="40" t="s">
        <v>477</v>
      </c>
      <c r="AC2" s="40" t="s">
        <v>478</v>
      </c>
      <c r="AD2" s="40" t="s">
        <v>479</v>
      </c>
      <c r="AE2" s="40" t="s">
        <v>480</v>
      </c>
      <c r="AF2" s="40" t="s">
        <v>481</v>
      </c>
      <c r="AG2" s="40" t="s">
        <v>482</v>
      </c>
      <c r="AH2" s="40" t="s">
        <v>483</v>
      </c>
      <c r="AI2" s="40"/>
      <c r="AJ2" s="40" t="s">
        <v>484</v>
      </c>
    </row>
    <row r="3" s="22" customFormat="1" ht="141" customHeight="1" spans="1:36">
      <c r="A3" s="44"/>
      <c r="B3" s="44" t="s">
        <v>485</v>
      </c>
      <c r="C3" s="44"/>
      <c r="D3" s="44"/>
      <c r="E3" s="44"/>
      <c r="F3" s="44" t="s">
        <v>486</v>
      </c>
      <c r="G3" s="44" t="s">
        <v>487</v>
      </c>
      <c r="H3" s="44" t="s">
        <v>488</v>
      </c>
      <c r="I3" s="44" t="s">
        <v>489</v>
      </c>
      <c r="J3" s="44" t="s">
        <v>490</v>
      </c>
      <c r="K3" s="44" t="s">
        <v>491</v>
      </c>
      <c r="L3" s="44"/>
      <c r="M3" s="44"/>
      <c r="N3" s="44"/>
      <c r="O3" s="45" t="s">
        <v>492</v>
      </c>
      <c r="P3" s="44" t="s">
        <v>493</v>
      </c>
      <c r="Q3" s="44" t="s">
        <v>494</v>
      </c>
      <c r="R3" s="44" t="s">
        <v>495</v>
      </c>
      <c r="S3" s="44" t="s">
        <v>496</v>
      </c>
      <c r="T3" s="44"/>
      <c r="U3" s="46" t="s">
        <v>497</v>
      </c>
      <c r="V3" s="46" t="s">
        <v>498</v>
      </c>
      <c r="W3" s="46" t="s">
        <v>499</v>
      </c>
      <c r="X3" s="46" t="s">
        <v>500</v>
      </c>
      <c r="Y3" s="46" t="s">
        <v>501</v>
      </c>
      <c r="Z3" s="46" t="s">
        <v>502</v>
      </c>
      <c r="AA3" s="46" t="s">
        <v>503</v>
      </c>
      <c r="AB3" s="44" t="s">
        <v>504</v>
      </c>
      <c r="AC3" s="44"/>
      <c r="AD3" s="44"/>
      <c r="AE3" s="44" t="s">
        <v>505</v>
      </c>
      <c r="AF3" s="44" t="s">
        <v>506</v>
      </c>
      <c r="AG3" s="44" t="s">
        <v>507</v>
      </c>
      <c r="AH3" s="44" t="s">
        <v>508</v>
      </c>
      <c r="AI3" s="44" t="s">
        <v>509</v>
      </c>
      <c r="AJ3" s="44" t="s">
        <v>510</v>
      </c>
    </row>
    <row r="4" spans="1:36">
      <c r="A4" s="40" t="s">
        <v>83</v>
      </c>
      <c r="B4" s="40" t="s">
        <v>83</v>
      </c>
      <c r="C4" s="40"/>
      <c r="D4" s="40" t="s">
        <v>84</v>
      </c>
      <c r="E4" s="40" t="s">
        <v>84</v>
      </c>
      <c r="F4" s="40" t="s">
        <v>83</v>
      </c>
      <c r="G4" s="40" t="s">
        <v>85</v>
      </c>
      <c r="H4" s="40" t="s">
        <v>84</v>
      </c>
      <c r="I4" s="40" t="s">
        <v>84</v>
      </c>
      <c r="J4" s="40" t="s">
        <v>84</v>
      </c>
      <c r="K4" s="40" t="s">
        <v>83</v>
      </c>
      <c r="L4" s="40"/>
      <c r="M4" s="40"/>
      <c r="N4" s="40" t="s">
        <v>84</v>
      </c>
      <c r="O4" s="41" t="s">
        <v>83</v>
      </c>
      <c r="P4" s="40" t="s">
        <v>83</v>
      </c>
      <c r="Q4" s="40" t="s">
        <v>83</v>
      </c>
      <c r="R4" s="40" t="s">
        <v>83</v>
      </c>
      <c r="S4" s="40" t="s">
        <v>83</v>
      </c>
      <c r="T4" s="40" t="s">
        <v>83</v>
      </c>
      <c r="U4" s="42" t="s">
        <v>83</v>
      </c>
      <c r="V4" s="42" t="s">
        <v>83</v>
      </c>
      <c r="W4" s="42" t="s">
        <v>83</v>
      </c>
      <c r="X4" s="42" t="s">
        <v>83</v>
      </c>
      <c r="Y4" s="42" t="s">
        <v>83</v>
      </c>
      <c r="Z4" s="42" t="s">
        <v>83</v>
      </c>
      <c r="AA4" s="42" t="s">
        <v>85</v>
      </c>
      <c r="AB4" s="40" t="s">
        <v>83</v>
      </c>
      <c r="AC4" s="40" t="s">
        <v>84</v>
      </c>
      <c r="AD4" s="40" t="s">
        <v>84</v>
      </c>
      <c r="AE4" s="40" t="s">
        <v>83</v>
      </c>
      <c r="AF4" s="40" t="s">
        <v>84</v>
      </c>
      <c r="AG4" s="40" t="s">
        <v>86</v>
      </c>
      <c r="AH4" s="40" t="s">
        <v>85</v>
      </c>
      <c r="AI4" s="40"/>
      <c r="AJ4" s="40" t="s">
        <v>83</v>
      </c>
    </row>
    <row r="5" spans="1:36">
      <c r="A5" s="40" t="s">
        <v>88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1"/>
      <c r="P5" s="40"/>
      <c r="Q5" s="40"/>
      <c r="R5" s="40"/>
      <c r="S5" s="40"/>
      <c r="T5" s="40"/>
      <c r="U5" s="42"/>
      <c r="V5" s="42"/>
      <c r="W5" s="42"/>
      <c r="X5" s="42"/>
      <c r="Y5" s="42"/>
      <c r="Z5" s="42"/>
      <c r="AA5" s="42"/>
      <c r="AB5" s="40"/>
      <c r="AC5" s="40"/>
      <c r="AD5" s="40"/>
      <c r="AE5" s="40"/>
      <c r="AF5" s="40"/>
      <c r="AG5" s="40"/>
      <c r="AH5" s="40"/>
      <c r="AI5" s="40"/>
      <c r="AJ5" s="40"/>
    </row>
    <row r="6" s="23" customFormat="1" spans="1:36">
      <c r="A6" s="39">
        <v>30011</v>
      </c>
      <c r="B6" s="39">
        <v>1</v>
      </c>
      <c r="C6" s="33" t="str">
        <f>_xlfn.XLOOKUP(VALUE(LEFT(A6,4)),[1]统帅!A:A,[1]统帅!D:D,9999)</f>
        <v>菩提祖师</v>
      </c>
      <c r="D6" s="33" t="s">
        <v>511</v>
      </c>
      <c r="E6" s="33" t="s">
        <v>512</v>
      </c>
      <c r="F6" s="39">
        <v>3</v>
      </c>
      <c r="G6" s="39">
        <v>6</v>
      </c>
      <c r="H6" s="39" t="s">
        <v>513</v>
      </c>
      <c r="I6" s="39" t="s">
        <v>514</v>
      </c>
      <c r="J6" s="39" t="s">
        <v>515</v>
      </c>
      <c r="K6" s="39">
        <v>1</v>
      </c>
      <c r="L6" s="39" t="s">
        <v>516</v>
      </c>
      <c r="M6" s="39" t="str">
        <f t="shared" ref="M6:M8" si="0">K6&amp;L6</f>
        <v>1masterskill_3001</v>
      </c>
      <c r="N6" s="39" t="s">
        <v>517</v>
      </c>
      <c r="O6" s="39">
        <v>3001</v>
      </c>
      <c r="P6" s="33">
        <v>1</v>
      </c>
      <c r="Q6" s="39">
        <v>0</v>
      </c>
      <c r="R6" s="39">
        <v>201</v>
      </c>
      <c r="S6" s="39"/>
      <c r="T6" s="39"/>
      <c r="U6" s="39"/>
      <c r="V6" s="39"/>
      <c r="W6" s="39"/>
      <c r="X6" s="39"/>
      <c r="Y6" s="39"/>
      <c r="Z6" s="39"/>
      <c r="AA6" s="39"/>
      <c r="AB6" s="33"/>
      <c r="AC6" s="39" t="s">
        <v>518</v>
      </c>
      <c r="AD6" s="39" t="s">
        <v>519</v>
      </c>
      <c r="AE6" s="39"/>
      <c r="AF6" s="39" t="s">
        <v>520</v>
      </c>
      <c r="AG6" s="39"/>
      <c r="AH6" s="39" t="s">
        <v>521</v>
      </c>
      <c r="AI6" s="39" t="s">
        <v>520</v>
      </c>
      <c r="AJ6" s="39">
        <v>30011</v>
      </c>
    </row>
    <row r="7" s="24" customFormat="1" spans="1:36">
      <c r="A7" s="47">
        <v>30021</v>
      </c>
      <c r="B7" s="47">
        <v>2</v>
      </c>
      <c r="C7" s="34" t="str">
        <f>_xlfn.XLOOKUP(VALUE(LEFT(A7,4)),[1]统帅!A:A,[1]统帅!D:D,9999)</f>
        <v>黄眉</v>
      </c>
      <c r="D7" s="34" t="s">
        <v>522</v>
      </c>
      <c r="E7" s="34" t="s">
        <v>512</v>
      </c>
      <c r="F7" s="47">
        <v>2</v>
      </c>
      <c r="G7" s="47">
        <v>4</v>
      </c>
      <c r="H7" s="47" t="s">
        <v>523</v>
      </c>
      <c r="I7" s="47" t="s">
        <v>523</v>
      </c>
      <c r="J7" s="47"/>
      <c r="K7" s="39"/>
      <c r="L7" s="47"/>
      <c r="M7" s="39" t="str">
        <f t="shared" si="0"/>
        <v/>
      </c>
      <c r="N7" s="47" t="s">
        <v>524</v>
      </c>
      <c r="O7" s="47">
        <v>3002</v>
      </c>
      <c r="P7" s="34">
        <v>1</v>
      </c>
      <c r="Q7" s="47">
        <v>11</v>
      </c>
      <c r="R7" s="47"/>
      <c r="S7" s="47"/>
      <c r="T7" s="47"/>
      <c r="U7" s="47"/>
      <c r="V7" s="47"/>
      <c r="W7" s="47"/>
      <c r="X7" s="47"/>
      <c r="Y7" s="47"/>
      <c r="Z7" s="47"/>
      <c r="AA7" s="47"/>
      <c r="AB7" s="34"/>
      <c r="AC7" s="47">
        <v>1</v>
      </c>
      <c r="AD7" s="47" t="s">
        <v>525</v>
      </c>
      <c r="AE7" s="47"/>
      <c r="AF7" s="47"/>
      <c r="AG7" s="47"/>
      <c r="AH7" s="47"/>
      <c r="AI7" s="47"/>
      <c r="AJ7" s="34"/>
    </row>
    <row r="8" s="23" customFormat="1" spans="1:36">
      <c r="A8" s="39">
        <v>30031</v>
      </c>
      <c r="B8" s="39">
        <v>3</v>
      </c>
      <c r="C8" s="33" t="s">
        <v>97</v>
      </c>
      <c r="D8" s="33" t="s">
        <v>526</v>
      </c>
      <c r="E8" s="33" t="s">
        <v>527</v>
      </c>
      <c r="F8" s="39"/>
      <c r="G8" s="39"/>
      <c r="H8" s="39" t="s">
        <v>528</v>
      </c>
      <c r="I8" s="39" t="s">
        <v>529</v>
      </c>
      <c r="J8" s="39" t="s">
        <v>530</v>
      </c>
      <c r="K8" s="39">
        <v>1</v>
      </c>
      <c r="L8" s="39" t="s">
        <v>531</v>
      </c>
      <c r="M8" s="39" t="s">
        <v>532</v>
      </c>
      <c r="N8" s="39" t="s">
        <v>533</v>
      </c>
      <c r="O8" s="39">
        <v>3003</v>
      </c>
      <c r="P8" s="33">
        <v>0</v>
      </c>
      <c r="Q8" s="39"/>
      <c r="R8" s="39"/>
      <c r="S8" s="39">
        <v>9</v>
      </c>
      <c r="T8" s="39">
        <v>1</v>
      </c>
      <c r="U8" s="39"/>
      <c r="V8" s="39"/>
      <c r="W8" s="39"/>
      <c r="X8" s="39"/>
      <c r="Y8" s="39"/>
      <c r="Z8" s="39"/>
      <c r="AA8" s="39"/>
      <c r="AB8" s="33"/>
      <c r="AC8" s="39" t="s">
        <v>534</v>
      </c>
      <c r="AD8" s="39" t="s">
        <v>535</v>
      </c>
      <c r="AE8" s="39"/>
      <c r="AF8" s="39" t="s">
        <v>520</v>
      </c>
      <c r="AG8" s="39"/>
      <c r="AH8" s="39" t="s">
        <v>536</v>
      </c>
      <c r="AI8" s="39" t="s">
        <v>520</v>
      </c>
      <c r="AJ8" s="39">
        <v>30031</v>
      </c>
    </row>
    <row r="9" s="25" customFormat="1" spans="1:36">
      <c r="A9" s="39">
        <v>30041</v>
      </c>
      <c r="B9" s="39">
        <v>4</v>
      </c>
      <c r="C9" s="33" t="s">
        <v>104</v>
      </c>
      <c r="D9" s="33" t="s">
        <v>537</v>
      </c>
      <c r="E9" s="33" t="s">
        <v>512</v>
      </c>
      <c r="F9" s="39">
        <v>1</v>
      </c>
      <c r="G9" s="39">
        <v>3</v>
      </c>
      <c r="H9" s="39" t="s">
        <v>538</v>
      </c>
      <c r="I9" s="39" t="s">
        <v>539</v>
      </c>
      <c r="J9" s="39" t="s">
        <v>539</v>
      </c>
      <c r="K9" s="39">
        <v>1</v>
      </c>
      <c r="L9" s="39" t="s">
        <v>540</v>
      </c>
      <c r="M9" s="39" t="s">
        <v>541</v>
      </c>
      <c r="N9" s="39" t="s">
        <v>541</v>
      </c>
      <c r="O9" s="39">
        <v>3004</v>
      </c>
      <c r="P9" s="33">
        <v>1</v>
      </c>
      <c r="Q9" s="39">
        <v>0</v>
      </c>
      <c r="R9" s="39"/>
      <c r="S9" s="39"/>
      <c r="T9" s="39"/>
      <c r="U9" s="39"/>
      <c r="V9" s="39"/>
      <c r="W9" s="39">
        <v>10</v>
      </c>
      <c r="X9" s="39"/>
      <c r="Y9" s="39">
        <v>1</v>
      </c>
      <c r="Z9" s="39">
        <v>6</v>
      </c>
      <c r="AA9" s="39"/>
      <c r="AB9" s="33"/>
      <c r="AC9" s="39" t="s">
        <v>521</v>
      </c>
      <c r="AD9" s="39" t="s">
        <v>542</v>
      </c>
      <c r="AE9" s="39"/>
      <c r="AF9" s="39" t="s">
        <v>543</v>
      </c>
      <c r="AG9" s="39" t="s">
        <v>544</v>
      </c>
      <c r="AH9" s="39">
        <v>10</v>
      </c>
      <c r="AI9" s="39" t="s">
        <v>545</v>
      </c>
      <c r="AJ9" s="39">
        <v>30041</v>
      </c>
    </row>
    <row r="10" s="26" customFormat="1" spans="1:36">
      <c r="A10" s="48">
        <v>30042</v>
      </c>
      <c r="B10" s="48">
        <v>4</v>
      </c>
      <c r="C10" s="49" t="s">
        <v>104</v>
      </c>
      <c r="D10" s="49" t="s">
        <v>537</v>
      </c>
      <c r="E10" s="49" t="s">
        <v>512</v>
      </c>
      <c r="F10" s="48">
        <v>1</v>
      </c>
      <c r="G10" s="48">
        <v>3</v>
      </c>
      <c r="H10" s="39" t="s">
        <v>538</v>
      </c>
      <c r="I10" s="39" t="s">
        <v>539</v>
      </c>
      <c r="J10" s="39" t="s">
        <v>539</v>
      </c>
      <c r="K10" s="48"/>
      <c r="L10" s="48" t="s">
        <v>540</v>
      </c>
      <c r="M10" s="48" t="s">
        <v>541</v>
      </c>
      <c r="N10" s="48" t="s">
        <v>541</v>
      </c>
      <c r="O10" s="48">
        <v>3004</v>
      </c>
      <c r="P10" s="49">
        <v>1</v>
      </c>
      <c r="Q10" s="48">
        <v>1</v>
      </c>
      <c r="R10" s="48"/>
      <c r="S10" s="48"/>
      <c r="T10" s="48"/>
      <c r="U10" s="48"/>
      <c r="V10" s="48"/>
      <c r="W10" s="48">
        <v>10</v>
      </c>
      <c r="X10" s="48"/>
      <c r="Y10" s="48"/>
      <c r="Z10" s="48"/>
      <c r="AA10" s="48"/>
      <c r="AB10" s="49"/>
      <c r="AC10" s="48" t="s">
        <v>521</v>
      </c>
      <c r="AD10" s="48" t="s">
        <v>542</v>
      </c>
      <c r="AE10" s="48"/>
      <c r="AF10" s="48" t="s">
        <v>543</v>
      </c>
      <c r="AG10" s="48" t="s">
        <v>544</v>
      </c>
      <c r="AH10" s="48">
        <v>10</v>
      </c>
      <c r="AI10" s="48" t="s">
        <v>545</v>
      </c>
      <c r="AJ10" s="48">
        <v>30041</v>
      </c>
    </row>
    <row r="11" s="24" customFormat="1" spans="1:36">
      <c r="A11" s="47">
        <v>30051</v>
      </c>
      <c r="B11" s="47">
        <v>5</v>
      </c>
      <c r="C11" s="34" t="str">
        <f>_xlfn.XLOOKUP(VALUE(LEFT(A11,4)),[1]统帅!A:A,[1]统帅!D:D,9999)</f>
        <v>太白金星</v>
      </c>
      <c r="D11" s="34" t="s">
        <v>546</v>
      </c>
      <c r="E11" s="34" t="s">
        <v>512</v>
      </c>
      <c r="F11" s="47">
        <v>1</v>
      </c>
      <c r="G11" s="47">
        <v>1</v>
      </c>
      <c r="H11" s="47" t="s">
        <v>547</v>
      </c>
      <c r="I11" s="47" t="s">
        <v>548</v>
      </c>
      <c r="J11" s="47"/>
      <c r="K11" s="39"/>
      <c r="L11" s="47"/>
      <c r="M11" s="47" t="str">
        <f t="shared" ref="M11:M71" si="1">K11&amp;L11</f>
        <v/>
      </c>
      <c r="N11" s="47" t="s">
        <v>549</v>
      </c>
      <c r="O11" s="47">
        <v>3005</v>
      </c>
      <c r="P11" s="34">
        <v>1</v>
      </c>
      <c r="Q11" s="47">
        <v>2</v>
      </c>
      <c r="R11" s="47"/>
      <c r="S11" s="47"/>
      <c r="T11" s="47"/>
      <c r="U11" s="47"/>
      <c r="V11" s="47"/>
      <c r="W11" s="47"/>
      <c r="X11" s="47">
        <v>8</v>
      </c>
      <c r="Y11" s="47"/>
      <c r="Z11" s="47"/>
      <c r="AA11" s="47"/>
      <c r="AB11" s="34"/>
      <c r="AC11" s="47"/>
      <c r="AD11" s="47"/>
      <c r="AE11" s="47"/>
      <c r="AF11" s="47"/>
      <c r="AG11" s="47" t="s">
        <v>550</v>
      </c>
      <c r="AH11" s="47">
        <v>0</v>
      </c>
      <c r="AI11" s="47" t="s">
        <v>551</v>
      </c>
      <c r="AJ11" s="34"/>
    </row>
    <row r="12" s="23" customFormat="1" spans="1:36">
      <c r="A12" s="39">
        <v>30061</v>
      </c>
      <c r="B12" s="39">
        <v>6</v>
      </c>
      <c r="C12" s="33" t="str">
        <f>_xlfn.XLOOKUP(VALUE(LEFT(A12,4)),[1]统帅!A:A,[1]统帅!D:D,9999)</f>
        <v>黄风大圣</v>
      </c>
      <c r="D12" s="33" t="s">
        <v>552</v>
      </c>
      <c r="E12" s="33" t="s">
        <v>527</v>
      </c>
      <c r="F12" s="39"/>
      <c r="G12" s="39"/>
      <c r="H12" s="39" t="s">
        <v>553</v>
      </c>
      <c r="I12" s="39" t="s">
        <v>554</v>
      </c>
      <c r="J12" s="39" t="s">
        <v>555</v>
      </c>
      <c r="K12" s="39">
        <v>1</v>
      </c>
      <c r="L12" s="39" t="s">
        <v>556</v>
      </c>
      <c r="M12" s="39" t="str">
        <f t="shared" si="1"/>
        <v>1masterskill_3006</v>
      </c>
      <c r="N12" s="39" t="s">
        <v>557</v>
      </c>
      <c r="O12" s="39">
        <v>3006</v>
      </c>
      <c r="P12" s="33" t="s">
        <v>558</v>
      </c>
      <c r="Q12" s="39">
        <v>0</v>
      </c>
      <c r="R12" s="39"/>
      <c r="S12" s="39">
        <v>14</v>
      </c>
      <c r="T12" s="39"/>
      <c r="U12" s="39"/>
      <c r="V12" s="39"/>
      <c r="W12" s="39"/>
      <c r="X12" s="39"/>
      <c r="Y12" s="39">
        <v>2</v>
      </c>
      <c r="Z12" s="39">
        <v>5</v>
      </c>
      <c r="AA12" s="39"/>
      <c r="AB12" s="33" t="s">
        <v>559</v>
      </c>
      <c r="AC12" s="39" t="s">
        <v>560</v>
      </c>
      <c r="AD12" s="39" t="s">
        <v>561</v>
      </c>
      <c r="AE12" s="39"/>
      <c r="AF12" s="39" t="s">
        <v>562</v>
      </c>
      <c r="AG12" s="39" t="s">
        <v>563</v>
      </c>
      <c r="AH12" s="39">
        <v>0</v>
      </c>
      <c r="AI12" s="39" t="s">
        <v>562</v>
      </c>
      <c r="AJ12" s="39">
        <v>30061</v>
      </c>
    </row>
    <row r="13" s="25" customFormat="1" spans="1:36">
      <c r="A13" s="39">
        <v>30062</v>
      </c>
      <c r="B13" s="39">
        <v>6</v>
      </c>
      <c r="C13" s="33" t="str">
        <f>_xlfn.XLOOKUP(VALUE(LEFT(A13,4)),[1]统帅!A:A,[1]统帅!D:D,9999)</f>
        <v>黄风大圣</v>
      </c>
      <c r="D13" s="33" t="s">
        <v>552</v>
      </c>
      <c r="E13" s="33" t="s">
        <v>527</v>
      </c>
      <c r="F13" s="39"/>
      <c r="G13" s="39"/>
      <c r="H13" s="39" t="s">
        <v>564</v>
      </c>
      <c r="I13" s="39" t="s">
        <v>565</v>
      </c>
      <c r="J13" s="39"/>
      <c r="K13" s="39"/>
      <c r="L13" s="39" t="s">
        <v>556</v>
      </c>
      <c r="M13" s="39" t="str">
        <f t="shared" si="1"/>
        <v>masterskill_3006</v>
      </c>
      <c r="N13" s="39" t="s">
        <v>557</v>
      </c>
      <c r="O13" s="39">
        <v>3006</v>
      </c>
      <c r="P13" s="33"/>
      <c r="Q13" s="39"/>
      <c r="R13" s="39"/>
      <c r="S13" s="39">
        <v>14</v>
      </c>
      <c r="T13" s="39"/>
      <c r="U13" s="39">
        <v>5</v>
      </c>
      <c r="V13" s="39"/>
      <c r="W13" s="39"/>
      <c r="X13" s="39"/>
      <c r="Y13" s="39"/>
      <c r="Z13" s="39"/>
      <c r="AA13" s="39"/>
      <c r="AB13" s="33" t="s">
        <v>559</v>
      </c>
      <c r="AC13" s="39" t="s">
        <v>566</v>
      </c>
      <c r="AD13" s="39" t="s">
        <v>561</v>
      </c>
      <c r="AE13" s="39"/>
      <c r="AF13" s="39" t="s">
        <v>562</v>
      </c>
      <c r="AG13" s="39" t="s">
        <v>563</v>
      </c>
      <c r="AH13" s="39">
        <v>0</v>
      </c>
      <c r="AI13" s="39" t="s">
        <v>562</v>
      </c>
      <c r="AJ13" s="39">
        <v>30061</v>
      </c>
    </row>
    <row r="14" s="24" customFormat="1" spans="1:36">
      <c r="A14" s="47">
        <v>30071</v>
      </c>
      <c r="B14" s="47">
        <v>7</v>
      </c>
      <c r="C14" s="34" t="str">
        <f>_xlfn.XLOOKUP(VALUE(LEFT(A14,4)),[1]统帅!A:A,[1]统帅!D:D,9999)</f>
        <v>魔礼红</v>
      </c>
      <c r="D14" s="34" t="s">
        <v>567</v>
      </c>
      <c r="E14" s="34" t="s">
        <v>527</v>
      </c>
      <c r="F14" s="47"/>
      <c r="G14" s="47"/>
      <c r="H14" s="47" t="s">
        <v>568</v>
      </c>
      <c r="I14" s="47" t="s">
        <v>568</v>
      </c>
      <c r="J14" s="47"/>
      <c r="K14" s="39"/>
      <c r="L14" s="47"/>
      <c r="M14" s="39" t="str">
        <f t="shared" si="1"/>
        <v/>
      </c>
      <c r="N14" s="47" t="s">
        <v>569</v>
      </c>
      <c r="O14" s="47">
        <v>3007</v>
      </c>
      <c r="P14" s="34">
        <v>0</v>
      </c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34">
        <v>2</v>
      </c>
      <c r="AC14" s="47" t="s">
        <v>570</v>
      </c>
      <c r="AD14" s="47" t="s">
        <v>571</v>
      </c>
      <c r="AE14" s="47"/>
      <c r="AF14" s="47"/>
      <c r="AG14" s="47"/>
      <c r="AH14" s="47"/>
      <c r="AI14" s="47"/>
      <c r="AJ14" s="34"/>
    </row>
    <row r="15" s="27" customFormat="1" spans="1:36">
      <c r="A15" s="50">
        <v>30081</v>
      </c>
      <c r="B15" s="50">
        <v>8</v>
      </c>
      <c r="C15" s="51" t="str">
        <f>_xlfn.XLOOKUP(VALUE(LEFT(A15,4)),[1]统帅!A:A,[1]统帅!D:D,9999)</f>
        <v>金池长老</v>
      </c>
      <c r="D15" s="51" t="s">
        <v>572</v>
      </c>
      <c r="E15" s="51" t="s">
        <v>512</v>
      </c>
      <c r="F15" s="50">
        <v>1</v>
      </c>
      <c r="G15" s="50">
        <v>1</v>
      </c>
      <c r="H15" s="50" t="s">
        <v>573</v>
      </c>
      <c r="I15" s="50" t="s">
        <v>573</v>
      </c>
      <c r="J15" s="50"/>
      <c r="K15" s="39"/>
      <c r="L15" s="50" t="s">
        <v>574</v>
      </c>
      <c r="M15" s="50" t="str">
        <f t="shared" si="1"/>
        <v>masterskill_3008</v>
      </c>
      <c r="N15" s="50" t="s">
        <v>575</v>
      </c>
      <c r="O15" s="50">
        <v>3008</v>
      </c>
      <c r="P15" s="51">
        <v>1</v>
      </c>
      <c r="Q15" s="50">
        <v>0</v>
      </c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1"/>
      <c r="AC15" s="50">
        <v>1011</v>
      </c>
      <c r="AD15" s="50" t="s">
        <v>576</v>
      </c>
      <c r="AE15" s="50"/>
      <c r="AF15" s="50" t="s">
        <v>577</v>
      </c>
      <c r="AG15" s="50"/>
      <c r="AH15" s="50">
        <v>0</v>
      </c>
      <c r="AI15" s="50" t="s">
        <v>577</v>
      </c>
      <c r="AJ15" s="50">
        <v>30081</v>
      </c>
    </row>
    <row r="16" s="28" customFormat="1" spans="1:36">
      <c r="A16" s="52">
        <v>30091</v>
      </c>
      <c r="B16" s="52">
        <v>9</v>
      </c>
      <c r="C16" s="35" t="str">
        <f>_xlfn.XLOOKUP(VALUE(LEFT(A16,4)),[1]统帅!A:A,[1]统帅!D:D,9999)</f>
        <v>鬼子母神</v>
      </c>
      <c r="D16" s="35" t="s">
        <v>578</v>
      </c>
      <c r="E16" s="35" t="s">
        <v>527</v>
      </c>
      <c r="F16" s="52"/>
      <c r="G16" s="52"/>
      <c r="H16" s="52" t="s">
        <v>579</v>
      </c>
      <c r="I16" s="52" t="s">
        <v>580</v>
      </c>
      <c r="J16" s="52" t="s">
        <v>581</v>
      </c>
      <c r="K16" s="39">
        <v>1</v>
      </c>
      <c r="L16" s="52" t="s">
        <v>582</v>
      </c>
      <c r="M16" s="52" t="str">
        <f t="shared" si="1"/>
        <v>1masterskill_3009</v>
      </c>
      <c r="N16" s="52" t="s">
        <v>583</v>
      </c>
      <c r="O16" s="52">
        <v>3009</v>
      </c>
      <c r="P16" s="35">
        <v>0</v>
      </c>
      <c r="Q16" s="52"/>
      <c r="R16" s="52"/>
      <c r="S16" s="52"/>
      <c r="T16" s="52"/>
      <c r="U16" s="52"/>
      <c r="V16" s="52"/>
      <c r="W16" s="52"/>
      <c r="X16" s="52"/>
      <c r="Y16" s="52">
        <v>2</v>
      </c>
      <c r="Z16" s="52">
        <v>3</v>
      </c>
      <c r="AA16" s="52"/>
      <c r="AB16" s="52">
        <v>3</v>
      </c>
      <c r="AC16" s="52" t="s">
        <v>584</v>
      </c>
      <c r="AD16" s="52" t="s">
        <v>585</v>
      </c>
      <c r="AE16" s="52"/>
      <c r="AF16" s="52" t="s">
        <v>520</v>
      </c>
      <c r="AG16" s="52"/>
      <c r="AH16" s="52" t="s">
        <v>586</v>
      </c>
      <c r="AI16" s="52" t="s">
        <v>520</v>
      </c>
      <c r="AJ16" s="52">
        <v>30091</v>
      </c>
    </row>
    <row r="17" s="29" customFormat="1" spans="1:36">
      <c r="A17" s="52">
        <v>30092</v>
      </c>
      <c r="B17" s="52">
        <v>9</v>
      </c>
      <c r="C17" s="35" t="str">
        <f>_xlfn.XLOOKUP(VALUE(LEFT(A17,4)),[1]统帅!A:A,[1]统帅!D:D,9999)</f>
        <v>鬼子母神</v>
      </c>
      <c r="D17" s="35" t="s">
        <v>578</v>
      </c>
      <c r="E17" s="35" t="s">
        <v>527</v>
      </c>
      <c r="F17" s="52"/>
      <c r="G17" s="52"/>
      <c r="H17" s="52" t="s">
        <v>579</v>
      </c>
      <c r="I17" s="52" t="s">
        <v>587</v>
      </c>
      <c r="J17" s="52" t="s">
        <v>588</v>
      </c>
      <c r="K17" s="39">
        <v>1</v>
      </c>
      <c r="L17" s="52" t="s">
        <v>582</v>
      </c>
      <c r="M17" s="52" t="str">
        <f t="shared" si="1"/>
        <v>1masterskill_3009</v>
      </c>
      <c r="N17" s="52" t="s">
        <v>583</v>
      </c>
      <c r="O17" s="52">
        <v>3009</v>
      </c>
      <c r="P17" s="35">
        <v>0</v>
      </c>
      <c r="Q17" s="52"/>
      <c r="R17" s="52"/>
      <c r="S17" s="52"/>
      <c r="T17" s="52"/>
      <c r="U17" s="52">
        <v>3</v>
      </c>
      <c r="V17" s="52"/>
      <c r="W17" s="52"/>
      <c r="X17" s="52"/>
      <c r="Y17" s="52">
        <v>2</v>
      </c>
      <c r="Z17" s="52">
        <v>5</v>
      </c>
      <c r="AA17" s="52"/>
      <c r="AB17" s="52">
        <v>3</v>
      </c>
      <c r="AC17" s="52" t="s">
        <v>589</v>
      </c>
      <c r="AD17" s="52" t="s">
        <v>585</v>
      </c>
      <c r="AE17" s="52"/>
      <c r="AF17" s="52" t="s">
        <v>520</v>
      </c>
      <c r="AG17" s="52"/>
      <c r="AH17" s="52" t="s">
        <v>521</v>
      </c>
      <c r="AI17" s="52" t="s">
        <v>520</v>
      </c>
      <c r="AJ17" s="52">
        <v>30091</v>
      </c>
    </row>
    <row r="18" s="29" customFormat="1" spans="1:36">
      <c r="A18" s="52">
        <v>30093</v>
      </c>
      <c r="B18" s="52">
        <v>9</v>
      </c>
      <c r="C18" s="35" t="str">
        <f>_xlfn.XLOOKUP(VALUE(LEFT(A18,4)),[1]统帅!A:A,[1]统帅!D:D,9999)</f>
        <v>鬼子母神</v>
      </c>
      <c r="D18" s="35" t="s">
        <v>578</v>
      </c>
      <c r="E18" s="35" t="s">
        <v>527</v>
      </c>
      <c r="F18" s="52"/>
      <c r="G18" s="52"/>
      <c r="H18" s="52" t="s">
        <v>579</v>
      </c>
      <c r="I18" s="52" t="s">
        <v>590</v>
      </c>
      <c r="J18" s="52" t="s">
        <v>591</v>
      </c>
      <c r="K18" s="39">
        <v>1</v>
      </c>
      <c r="L18" s="52" t="s">
        <v>582</v>
      </c>
      <c r="M18" s="52" t="str">
        <f t="shared" si="1"/>
        <v>1masterskill_3009</v>
      </c>
      <c r="N18" s="52" t="s">
        <v>583</v>
      </c>
      <c r="O18" s="52">
        <v>3009</v>
      </c>
      <c r="P18" s="35">
        <v>0</v>
      </c>
      <c r="Q18" s="52"/>
      <c r="R18" s="52"/>
      <c r="S18" s="52"/>
      <c r="T18" s="52"/>
      <c r="U18" s="52">
        <v>5</v>
      </c>
      <c r="V18" s="52"/>
      <c r="W18" s="52"/>
      <c r="X18" s="52"/>
      <c r="Y18" s="52"/>
      <c r="Z18" s="52"/>
      <c r="AA18" s="52"/>
      <c r="AB18" s="52">
        <v>3</v>
      </c>
      <c r="AC18" s="52" t="s">
        <v>592</v>
      </c>
      <c r="AD18" s="52" t="s">
        <v>585</v>
      </c>
      <c r="AE18" s="52"/>
      <c r="AF18" s="52" t="s">
        <v>520</v>
      </c>
      <c r="AG18" s="52"/>
      <c r="AH18" s="52" t="s">
        <v>593</v>
      </c>
      <c r="AI18" s="52" t="s">
        <v>520</v>
      </c>
      <c r="AJ18" s="52">
        <v>30091</v>
      </c>
    </row>
    <row r="19" s="24" customFormat="1" spans="1:36">
      <c r="A19" s="47">
        <v>30101</v>
      </c>
      <c r="B19" s="47">
        <v>10</v>
      </c>
      <c r="C19" s="34" t="str">
        <f>_xlfn.XLOOKUP(VALUE(LEFT(A19,4)),[1]统帅!A:A,[1]统帅!D:D,9999)</f>
        <v>嫦娥</v>
      </c>
      <c r="D19" s="34" t="s">
        <v>594</v>
      </c>
      <c r="E19" s="34" t="s">
        <v>512</v>
      </c>
      <c r="F19" s="47">
        <v>1</v>
      </c>
      <c r="G19" s="47">
        <v>1</v>
      </c>
      <c r="H19" s="47" t="s">
        <v>595</v>
      </c>
      <c r="I19" s="47" t="s">
        <v>595</v>
      </c>
      <c r="J19" s="47"/>
      <c r="K19" s="39"/>
      <c r="L19" s="47" t="s">
        <v>596</v>
      </c>
      <c r="M19" s="39" t="str">
        <f t="shared" si="1"/>
        <v>masterskill_3010</v>
      </c>
      <c r="N19" s="47" t="s">
        <v>597</v>
      </c>
      <c r="O19" s="47">
        <v>3010</v>
      </c>
      <c r="P19" s="34">
        <v>1</v>
      </c>
      <c r="Q19" s="47">
        <v>2</v>
      </c>
      <c r="R19" s="47"/>
      <c r="S19" s="47"/>
      <c r="T19" s="47"/>
      <c r="U19" s="47"/>
      <c r="V19" s="47"/>
      <c r="W19" s="47"/>
      <c r="X19" s="47">
        <v>4</v>
      </c>
      <c r="Y19" s="47"/>
      <c r="Z19" s="47"/>
      <c r="AA19" s="47"/>
      <c r="AB19" s="34"/>
      <c r="AC19" s="47"/>
      <c r="AD19" s="47"/>
      <c r="AE19" s="47"/>
      <c r="AF19" s="47"/>
      <c r="AG19" s="47" t="s">
        <v>550</v>
      </c>
      <c r="AH19" s="47">
        <v>0</v>
      </c>
      <c r="AI19" s="47" t="s">
        <v>551</v>
      </c>
      <c r="AJ19" s="34"/>
    </row>
    <row r="20" s="23" customFormat="1" spans="1:36">
      <c r="A20" s="39">
        <v>30111</v>
      </c>
      <c r="B20" s="39">
        <v>11</v>
      </c>
      <c r="C20" s="33" t="str">
        <f>_xlfn.XLOOKUP(VALUE(LEFT(A20,4)),[1]统帅!A:A,[1]统帅!D:D,9999)</f>
        <v>托塔天王</v>
      </c>
      <c r="D20" s="33" t="s">
        <v>598</v>
      </c>
      <c r="E20" s="33" t="s">
        <v>512</v>
      </c>
      <c r="F20" s="39">
        <v>4</v>
      </c>
      <c r="G20" s="39">
        <v>5</v>
      </c>
      <c r="H20" s="39" t="s">
        <v>599</v>
      </c>
      <c r="I20" s="39" t="s">
        <v>600</v>
      </c>
      <c r="J20" s="39"/>
      <c r="K20" s="39"/>
      <c r="L20" s="39" t="s">
        <v>601</v>
      </c>
      <c r="M20" s="39" t="str">
        <f t="shared" si="1"/>
        <v>masterskill_3011</v>
      </c>
      <c r="N20" s="39" t="s">
        <v>602</v>
      </c>
      <c r="O20" s="39">
        <v>3011</v>
      </c>
      <c r="P20" s="33">
        <v>1</v>
      </c>
      <c r="Q20" s="39">
        <v>1</v>
      </c>
      <c r="R20" s="39">
        <v>204</v>
      </c>
      <c r="S20" s="39"/>
      <c r="T20" s="39"/>
      <c r="U20" s="39"/>
      <c r="V20" s="39"/>
      <c r="W20" s="39"/>
      <c r="X20" s="39"/>
      <c r="Y20" s="39">
        <v>1</v>
      </c>
      <c r="Z20" s="39">
        <v>8</v>
      </c>
      <c r="AA20" s="39"/>
      <c r="AB20" s="33"/>
      <c r="AC20" s="39" t="s">
        <v>603</v>
      </c>
      <c r="AD20" s="39" t="s">
        <v>585</v>
      </c>
      <c r="AE20" s="39"/>
      <c r="AF20" s="39" t="s">
        <v>604</v>
      </c>
      <c r="AG20" s="39" t="s">
        <v>550</v>
      </c>
      <c r="AH20" s="39">
        <v>0</v>
      </c>
      <c r="AI20" s="39" t="s">
        <v>551</v>
      </c>
      <c r="AJ20" s="39">
        <v>30111</v>
      </c>
    </row>
    <row r="21" s="23" customFormat="1" spans="1:36">
      <c r="A21" s="39">
        <v>30112</v>
      </c>
      <c r="B21" s="39">
        <v>11</v>
      </c>
      <c r="C21" s="33" t="str">
        <f>_xlfn.XLOOKUP(VALUE(LEFT(A21,4)),[1]统帅!A:A,[1]统帅!D:D,9999)</f>
        <v>托塔天王</v>
      </c>
      <c r="D21" s="33" t="s">
        <v>598</v>
      </c>
      <c r="E21" s="33" t="s">
        <v>512</v>
      </c>
      <c r="F21" s="39">
        <v>4</v>
      </c>
      <c r="G21" s="39">
        <v>5</v>
      </c>
      <c r="H21" s="39" t="s">
        <v>599</v>
      </c>
      <c r="I21" s="39" t="s">
        <v>600</v>
      </c>
      <c r="J21" s="39"/>
      <c r="K21" s="39"/>
      <c r="L21" s="39" t="s">
        <v>601</v>
      </c>
      <c r="M21" s="39" t="str">
        <f t="shared" si="1"/>
        <v>masterskill_3011</v>
      </c>
      <c r="N21" s="39" t="s">
        <v>602</v>
      </c>
      <c r="O21" s="39">
        <v>3011</v>
      </c>
      <c r="P21" s="33">
        <v>1</v>
      </c>
      <c r="Q21" s="39">
        <v>2</v>
      </c>
      <c r="R21" s="39">
        <v>204</v>
      </c>
      <c r="S21" s="39"/>
      <c r="T21" s="39"/>
      <c r="U21" s="39"/>
      <c r="V21" s="39"/>
      <c r="W21" s="39"/>
      <c r="X21" s="39"/>
      <c r="Y21" s="39"/>
      <c r="Z21" s="39"/>
      <c r="AA21" s="39"/>
      <c r="AB21" s="33"/>
      <c r="AC21" s="39" t="s">
        <v>603</v>
      </c>
      <c r="AD21" s="39" t="s">
        <v>585</v>
      </c>
      <c r="AE21" s="39"/>
      <c r="AF21" s="39" t="s">
        <v>604</v>
      </c>
      <c r="AG21" s="39" t="s">
        <v>550</v>
      </c>
      <c r="AH21" s="39">
        <v>0</v>
      </c>
      <c r="AI21" s="39" t="s">
        <v>551</v>
      </c>
      <c r="AJ21" s="39">
        <v>30111</v>
      </c>
    </row>
    <row r="22" s="28" customFormat="1" spans="1:36">
      <c r="A22" s="52">
        <v>30121</v>
      </c>
      <c r="B22" s="52">
        <v>12</v>
      </c>
      <c r="C22" s="35" t="str">
        <f>_xlfn.XLOOKUP(VALUE(LEFT(A22,4)),[1]统帅!A:A,[1]统帅!D:D,9999)</f>
        <v>玉皇大帝</v>
      </c>
      <c r="D22" s="35" t="s">
        <v>605</v>
      </c>
      <c r="E22" s="35" t="s">
        <v>512</v>
      </c>
      <c r="F22" s="52">
        <v>5</v>
      </c>
      <c r="G22" s="52"/>
      <c r="H22" s="52" t="s">
        <v>606</v>
      </c>
      <c r="I22" s="52" t="s">
        <v>607</v>
      </c>
      <c r="J22" s="52"/>
      <c r="K22" s="39"/>
      <c r="L22" s="52" t="s">
        <v>608</v>
      </c>
      <c r="M22" s="52" t="str">
        <f t="shared" si="1"/>
        <v>masterskill_3012</v>
      </c>
      <c r="N22" s="52" t="s">
        <v>609</v>
      </c>
      <c r="O22" s="52">
        <v>3012</v>
      </c>
      <c r="P22" s="35">
        <v>1</v>
      </c>
      <c r="Q22" s="52">
        <v>0</v>
      </c>
      <c r="R22" s="52">
        <v>202</v>
      </c>
      <c r="S22" s="52"/>
      <c r="T22" s="52"/>
      <c r="U22" s="52"/>
      <c r="V22" s="52"/>
      <c r="W22" s="52">
        <v>2</v>
      </c>
      <c r="X22" s="52"/>
      <c r="Y22" s="52"/>
      <c r="Z22" s="52"/>
      <c r="AA22" s="52"/>
      <c r="AB22" s="35"/>
      <c r="AC22" s="52" t="s">
        <v>610</v>
      </c>
      <c r="AD22" s="52" t="s">
        <v>611</v>
      </c>
      <c r="AE22" s="52"/>
      <c r="AF22" s="52" t="s">
        <v>604</v>
      </c>
      <c r="AG22" s="52" t="s">
        <v>544</v>
      </c>
      <c r="AH22" s="52">
        <v>2</v>
      </c>
      <c r="AI22" s="52" t="s">
        <v>612</v>
      </c>
      <c r="AJ22" s="52">
        <v>30121</v>
      </c>
    </row>
    <row r="23" s="24" customFormat="1" spans="1:36">
      <c r="A23" s="47">
        <v>30131</v>
      </c>
      <c r="B23" s="47">
        <v>13</v>
      </c>
      <c r="C23" s="34" t="str">
        <f>_xlfn.XLOOKUP(VALUE(LEFT(A23,4)),[1]统帅!A:A,[1]统帅!D:D,9999)</f>
        <v>月老</v>
      </c>
      <c r="D23" s="34" t="s">
        <v>613</v>
      </c>
      <c r="E23" s="34" t="s">
        <v>512</v>
      </c>
      <c r="F23" s="47">
        <v>1</v>
      </c>
      <c r="G23" s="47">
        <v>1</v>
      </c>
      <c r="H23" s="47" t="s">
        <v>614</v>
      </c>
      <c r="I23" s="47" t="s">
        <v>614</v>
      </c>
      <c r="J23" s="47"/>
      <c r="K23" s="39"/>
      <c r="L23" s="47"/>
      <c r="M23" s="39" t="str">
        <f t="shared" si="1"/>
        <v/>
      </c>
      <c r="N23" s="47" t="s">
        <v>549</v>
      </c>
      <c r="O23" s="47">
        <v>3013</v>
      </c>
      <c r="P23" s="34">
        <v>1</v>
      </c>
      <c r="Q23" s="47">
        <v>1</v>
      </c>
      <c r="R23" s="47"/>
      <c r="S23" s="47"/>
      <c r="T23" s="47"/>
      <c r="U23" s="47"/>
      <c r="V23" s="47"/>
      <c r="W23" s="47"/>
      <c r="X23" s="47"/>
      <c r="Y23" s="47">
        <v>1</v>
      </c>
      <c r="Z23" s="47">
        <v>9</v>
      </c>
      <c r="AA23" s="47"/>
      <c r="AB23" s="34"/>
      <c r="AC23" s="47" t="s">
        <v>521</v>
      </c>
      <c r="AD23" s="47" t="s">
        <v>615</v>
      </c>
      <c r="AE23" s="47"/>
      <c r="AF23" s="47"/>
      <c r="AG23" s="47" t="s">
        <v>550</v>
      </c>
      <c r="AH23" s="47">
        <v>0</v>
      </c>
      <c r="AI23" s="47" t="s">
        <v>551</v>
      </c>
      <c r="AJ23" s="34"/>
    </row>
    <row r="24" s="24" customFormat="1" spans="1:36">
      <c r="A24" s="47">
        <v>30132</v>
      </c>
      <c r="B24" s="47">
        <v>13</v>
      </c>
      <c r="C24" s="34" t="str">
        <f>_xlfn.XLOOKUP(VALUE(LEFT(A24,4)),[1]统帅!A:A,[1]统帅!D:D,9999)</f>
        <v>月老</v>
      </c>
      <c r="D24" s="34" t="s">
        <v>613</v>
      </c>
      <c r="E24" s="34" t="s">
        <v>512</v>
      </c>
      <c r="F24" s="47">
        <v>1</v>
      </c>
      <c r="G24" s="47">
        <v>1</v>
      </c>
      <c r="H24" s="47" t="s">
        <v>616</v>
      </c>
      <c r="I24" s="47" t="s">
        <v>616</v>
      </c>
      <c r="J24" s="47"/>
      <c r="K24" s="39"/>
      <c r="L24" s="47"/>
      <c r="M24" s="39" t="str">
        <f t="shared" si="1"/>
        <v/>
      </c>
      <c r="N24" s="47" t="s">
        <v>549</v>
      </c>
      <c r="O24" s="47">
        <v>3013</v>
      </c>
      <c r="P24" s="34">
        <v>1</v>
      </c>
      <c r="Q24" s="47">
        <v>1</v>
      </c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34"/>
      <c r="AC24" s="47" t="s">
        <v>593</v>
      </c>
      <c r="AD24" s="47" t="s">
        <v>617</v>
      </c>
      <c r="AE24" s="47"/>
      <c r="AF24" s="47"/>
      <c r="AG24" s="47"/>
      <c r="AH24" s="47"/>
      <c r="AI24" s="47"/>
      <c r="AJ24" s="34"/>
    </row>
    <row r="25" s="23" customFormat="1" spans="1:36">
      <c r="A25" s="39">
        <v>30141</v>
      </c>
      <c r="B25" s="39">
        <v>14</v>
      </c>
      <c r="C25" s="33" t="s">
        <v>136</v>
      </c>
      <c r="D25" s="33" t="s">
        <v>618</v>
      </c>
      <c r="E25" s="33" t="s">
        <v>512</v>
      </c>
      <c r="F25" s="39">
        <v>1</v>
      </c>
      <c r="G25" s="39">
        <v>1</v>
      </c>
      <c r="H25" s="39" t="s">
        <v>619</v>
      </c>
      <c r="I25" s="39" t="s">
        <v>619</v>
      </c>
      <c r="J25" s="39"/>
      <c r="K25" s="39"/>
      <c r="L25" s="39" t="s">
        <v>620</v>
      </c>
      <c r="M25" s="39" t="s">
        <v>620</v>
      </c>
      <c r="N25" s="39" t="s">
        <v>621</v>
      </c>
      <c r="O25" s="39">
        <v>3014</v>
      </c>
      <c r="P25" s="33">
        <v>1</v>
      </c>
      <c r="Q25" s="39">
        <v>0</v>
      </c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3"/>
      <c r="AC25" s="39"/>
      <c r="AD25" s="39"/>
      <c r="AE25" s="39"/>
      <c r="AF25" s="39"/>
      <c r="AG25" s="39"/>
      <c r="AH25" s="39"/>
      <c r="AI25" s="39"/>
      <c r="AJ25" s="39">
        <v>30141</v>
      </c>
    </row>
    <row r="26" s="30" customFormat="1" spans="1:36">
      <c r="A26" s="53">
        <v>30142</v>
      </c>
      <c r="B26" s="53">
        <v>14</v>
      </c>
      <c r="C26" s="36" t="str">
        <f>_xlfn.XLOOKUP(VALUE(LEFT(A26,4)),[1]统帅!A:A,[1]统帅!D:D,9999)</f>
        <v>骊山圣女</v>
      </c>
      <c r="D26" s="36" t="s">
        <v>618</v>
      </c>
      <c r="E26" s="36" t="s">
        <v>512</v>
      </c>
      <c r="F26" s="53">
        <v>1</v>
      </c>
      <c r="G26" s="53">
        <v>1</v>
      </c>
      <c r="H26" s="53" t="s">
        <v>622</v>
      </c>
      <c r="I26" s="53" t="s">
        <v>623</v>
      </c>
      <c r="J26" s="53"/>
      <c r="K26" s="53"/>
      <c r="L26" s="53" t="s">
        <v>620</v>
      </c>
      <c r="M26" s="53" t="str">
        <f t="shared" si="1"/>
        <v>masterskill_3014</v>
      </c>
      <c r="N26" s="53" t="s">
        <v>621</v>
      </c>
      <c r="O26" s="53">
        <v>3014</v>
      </c>
      <c r="P26" s="36">
        <v>1</v>
      </c>
      <c r="Q26" s="53">
        <v>1</v>
      </c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36"/>
      <c r="AC26" s="53"/>
      <c r="AD26" s="53"/>
      <c r="AE26" s="53"/>
      <c r="AF26" s="53" t="s">
        <v>604</v>
      </c>
      <c r="AG26" s="53" t="s">
        <v>550</v>
      </c>
      <c r="AH26" s="53">
        <v>0</v>
      </c>
      <c r="AI26" s="53" t="s">
        <v>551</v>
      </c>
      <c r="AJ26" s="53">
        <v>30141</v>
      </c>
    </row>
    <row r="27" s="28" customFormat="1" spans="1:36">
      <c r="A27" s="52">
        <v>30151</v>
      </c>
      <c r="B27" s="52">
        <v>15</v>
      </c>
      <c r="C27" s="49" t="str">
        <f>_xlfn.XLOOKUP(VALUE(LEFT(A27,4)),[1]统帅!A:A,[1]统帅!D:D,9999)</f>
        <v>六耳猕猴</v>
      </c>
      <c r="D27" s="38" t="s">
        <v>624</v>
      </c>
      <c r="E27" s="35" t="s">
        <v>512</v>
      </c>
      <c r="F27" s="52">
        <v>1</v>
      </c>
      <c r="G27" s="52">
        <v>1</v>
      </c>
      <c r="H27" s="52" t="s">
        <v>625</v>
      </c>
      <c r="I27" s="52" t="s">
        <v>626</v>
      </c>
      <c r="J27" s="52" t="s">
        <v>625</v>
      </c>
      <c r="K27" s="39">
        <v>1</v>
      </c>
      <c r="L27" s="52" t="s">
        <v>627</v>
      </c>
      <c r="M27" s="52" t="str">
        <f t="shared" si="1"/>
        <v>1masterskill_3015</v>
      </c>
      <c r="N27" s="52" t="s">
        <v>628</v>
      </c>
      <c r="O27" s="52">
        <v>3015</v>
      </c>
      <c r="P27" s="35">
        <v>1</v>
      </c>
      <c r="Q27" s="52">
        <v>0</v>
      </c>
      <c r="R27" s="52"/>
      <c r="S27" s="52"/>
      <c r="T27" s="52"/>
      <c r="U27" s="52">
        <v>3</v>
      </c>
      <c r="V27" s="52"/>
      <c r="W27" s="52">
        <v>4</v>
      </c>
      <c r="X27" s="52"/>
      <c r="Y27" s="52"/>
      <c r="Z27" s="52"/>
      <c r="AA27" s="52"/>
      <c r="AB27" s="35"/>
      <c r="AC27" s="52">
        <v>1061</v>
      </c>
      <c r="AD27" s="52"/>
      <c r="AE27" s="52"/>
      <c r="AF27" s="52"/>
      <c r="AG27" s="52" t="s">
        <v>544</v>
      </c>
      <c r="AH27" s="52">
        <v>4</v>
      </c>
      <c r="AI27" s="52" t="s">
        <v>612</v>
      </c>
      <c r="AJ27" s="52">
        <v>30151</v>
      </c>
    </row>
    <row r="28" s="23" customFormat="1" spans="1:36">
      <c r="A28" s="39">
        <v>30161</v>
      </c>
      <c r="B28" s="39">
        <v>16</v>
      </c>
      <c r="C28" s="33" t="str">
        <f>_xlfn.XLOOKUP(VALUE(LEFT(A28,4)),[1]统帅!A:A,[1]统帅!D:D,9999)</f>
        <v>玉面狐狸</v>
      </c>
      <c r="D28" s="33" t="s">
        <v>629</v>
      </c>
      <c r="E28" s="33" t="s">
        <v>512</v>
      </c>
      <c r="F28" s="39">
        <v>1</v>
      </c>
      <c r="G28" s="39">
        <v>1</v>
      </c>
      <c r="H28" s="39" t="s">
        <v>630</v>
      </c>
      <c r="I28" s="39" t="s">
        <v>630</v>
      </c>
      <c r="J28" s="39"/>
      <c r="K28" s="39"/>
      <c r="L28" s="39" t="s">
        <v>631</v>
      </c>
      <c r="M28" s="39" t="str">
        <f t="shared" si="1"/>
        <v>masterskill_3016</v>
      </c>
      <c r="N28" s="39" t="s">
        <v>632</v>
      </c>
      <c r="O28" s="39">
        <v>3016</v>
      </c>
      <c r="P28" s="33">
        <v>1</v>
      </c>
      <c r="Q28" s="39">
        <v>1</v>
      </c>
      <c r="R28" s="39"/>
      <c r="S28" s="39"/>
      <c r="T28" s="39">
        <v>1</v>
      </c>
      <c r="U28" s="39"/>
      <c r="V28" s="39"/>
      <c r="W28" s="39"/>
      <c r="X28" s="39"/>
      <c r="Y28" s="39"/>
      <c r="Z28" s="39"/>
      <c r="AA28" s="39"/>
      <c r="AB28" s="33"/>
      <c r="AC28" s="39" t="s">
        <v>633</v>
      </c>
      <c r="AD28" s="39" t="s">
        <v>634</v>
      </c>
      <c r="AE28" s="39"/>
      <c r="AF28" s="39"/>
      <c r="AG28" s="39"/>
      <c r="AH28" s="39"/>
      <c r="AI28" s="39"/>
      <c r="AJ28" s="39">
        <v>30161</v>
      </c>
    </row>
    <row r="29" s="23" customFormat="1" spans="1:36">
      <c r="A29" s="39">
        <v>30171</v>
      </c>
      <c r="B29" s="39">
        <v>17</v>
      </c>
      <c r="C29" s="33" t="str">
        <f>_xlfn.XLOOKUP(VALUE(LEFT(A29,4)),[1]统帅!A:A,[1]统帅!D:D,9999)</f>
        <v>太白金星</v>
      </c>
      <c r="D29" s="33" t="s">
        <v>546</v>
      </c>
      <c r="E29" s="33" t="s">
        <v>512</v>
      </c>
      <c r="F29" s="39">
        <v>1</v>
      </c>
      <c r="G29" s="39">
        <v>1</v>
      </c>
      <c r="H29" s="39" t="s">
        <v>635</v>
      </c>
      <c r="I29" s="39" t="s">
        <v>636</v>
      </c>
      <c r="J29" s="39"/>
      <c r="K29" s="39"/>
      <c r="L29" s="39"/>
      <c r="M29" s="39" t="str">
        <f t="shared" si="1"/>
        <v/>
      </c>
      <c r="N29" s="39" t="s">
        <v>637</v>
      </c>
      <c r="O29" s="39">
        <v>3017</v>
      </c>
      <c r="P29" s="33">
        <v>1</v>
      </c>
      <c r="Q29" s="39">
        <v>1</v>
      </c>
      <c r="R29" s="39"/>
      <c r="S29" s="39"/>
      <c r="T29" s="39"/>
      <c r="U29" s="39"/>
      <c r="V29" s="39"/>
      <c r="W29" s="39">
        <v>6</v>
      </c>
      <c r="X29" s="39"/>
      <c r="Y29" s="39"/>
      <c r="Z29" s="39"/>
      <c r="AA29" s="39"/>
      <c r="AB29" s="33"/>
      <c r="AC29" s="39"/>
      <c r="AD29" s="39"/>
      <c r="AE29" s="39"/>
      <c r="AF29" s="39"/>
      <c r="AG29" s="39" t="s">
        <v>638</v>
      </c>
      <c r="AH29" s="39" t="s">
        <v>639</v>
      </c>
      <c r="AI29" s="39" t="s">
        <v>640</v>
      </c>
      <c r="AJ29" s="39">
        <v>30171</v>
      </c>
    </row>
    <row r="30" s="23" customFormat="1" spans="1:36">
      <c r="A30" s="39">
        <v>30181</v>
      </c>
      <c r="B30" s="39">
        <v>18</v>
      </c>
      <c r="C30" s="33" t="str">
        <f>_xlfn.XLOOKUP(VALUE(LEFT(A30,4)),[1]统帅!A:A,[1]统帅!D:D,9999)</f>
        <v>钟馗</v>
      </c>
      <c r="D30" s="33" t="s">
        <v>641</v>
      </c>
      <c r="E30" s="33" t="s">
        <v>527</v>
      </c>
      <c r="F30" s="39"/>
      <c r="G30" s="39"/>
      <c r="H30" s="39" t="s">
        <v>642</v>
      </c>
      <c r="I30" s="39" t="s">
        <v>643</v>
      </c>
      <c r="J30" s="39" t="s">
        <v>644</v>
      </c>
      <c r="K30" s="39">
        <v>1</v>
      </c>
      <c r="L30" s="39" t="s">
        <v>645</v>
      </c>
      <c r="M30" s="39" t="str">
        <f t="shared" si="1"/>
        <v>1masterskill_3018</v>
      </c>
      <c r="N30" s="39" t="s">
        <v>646</v>
      </c>
      <c r="O30" s="39">
        <v>3018</v>
      </c>
      <c r="P30" s="33"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>
        <v>1</v>
      </c>
      <c r="AC30" s="39"/>
      <c r="AD30" s="39"/>
      <c r="AE30" s="39"/>
      <c r="AF30" s="39" t="s">
        <v>647</v>
      </c>
      <c r="AG30" s="39" t="s">
        <v>544</v>
      </c>
      <c r="AH30" s="39">
        <v>2</v>
      </c>
      <c r="AI30" s="39" t="s">
        <v>648</v>
      </c>
      <c r="AJ30" s="39">
        <v>30181</v>
      </c>
    </row>
    <row r="31" s="24" customFormat="1" spans="1:36">
      <c r="A31" s="47">
        <v>30191</v>
      </c>
      <c r="B31" s="47">
        <v>19</v>
      </c>
      <c r="C31" s="34" t="str">
        <f>_xlfn.XLOOKUP(VALUE(LEFT(A31,4)),[1]统帅!A:A,[1]统帅!D:D,9999)</f>
        <v>斗战胜佛</v>
      </c>
      <c r="D31" s="34" t="s">
        <v>649</v>
      </c>
      <c r="E31" s="34" t="s">
        <v>527</v>
      </c>
      <c r="F31" s="47"/>
      <c r="G31" s="47"/>
      <c r="H31" s="47" t="s">
        <v>650</v>
      </c>
      <c r="I31" s="47" t="s">
        <v>651</v>
      </c>
      <c r="J31" s="47"/>
      <c r="K31" s="39"/>
      <c r="L31" s="47" t="s">
        <v>652</v>
      </c>
      <c r="M31" s="47" t="str">
        <f t="shared" si="1"/>
        <v>masterskill_3019</v>
      </c>
      <c r="N31" s="47" t="s">
        <v>653</v>
      </c>
      <c r="O31" s="47">
        <v>3019</v>
      </c>
      <c r="P31" s="34">
        <v>0</v>
      </c>
      <c r="Q31" s="47"/>
      <c r="R31" s="47"/>
      <c r="S31" s="47"/>
      <c r="T31" s="47"/>
      <c r="U31" s="47"/>
      <c r="V31" s="47"/>
      <c r="W31" s="47"/>
      <c r="X31" s="47"/>
      <c r="Y31" s="47">
        <v>2</v>
      </c>
      <c r="Z31" s="47">
        <v>4</v>
      </c>
      <c r="AA31" s="47"/>
      <c r="AB31" s="47">
        <v>1</v>
      </c>
      <c r="AC31" s="47">
        <v>30001</v>
      </c>
      <c r="AD31" s="47"/>
      <c r="AE31" s="47"/>
      <c r="AF31" s="47"/>
      <c r="AG31" s="54"/>
      <c r="AH31" s="54"/>
      <c r="AI31" s="47"/>
      <c r="AJ31" s="47">
        <v>30191</v>
      </c>
    </row>
    <row r="32" s="23" customFormat="1" spans="1:36">
      <c r="A32" s="39">
        <v>30192</v>
      </c>
      <c r="B32" s="39">
        <v>19</v>
      </c>
      <c r="C32" s="33" t="s">
        <v>654</v>
      </c>
      <c r="D32" s="33" t="s">
        <v>655</v>
      </c>
      <c r="E32" s="33" t="s">
        <v>527</v>
      </c>
      <c r="F32" s="39"/>
      <c r="G32" s="39"/>
      <c r="H32" s="39" t="s">
        <v>656</v>
      </c>
      <c r="I32" s="39" t="s">
        <v>657</v>
      </c>
      <c r="J32" s="39" t="s">
        <v>656</v>
      </c>
      <c r="K32" s="39">
        <v>1</v>
      </c>
      <c r="L32" s="39" t="s">
        <v>652</v>
      </c>
      <c r="M32" s="39" t="str">
        <f t="shared" si="1"/>
        <v>1masterskill_3019</v>
      </c>
      <c r="N32" s="39" t="s">
        <v>653</v>
      </c>
      <c r="O32" s="39">
        <v>3019</v>
      </c>
      <c r="P32" s="33"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>
        <v>1</v>
      </c>
      <c r="AC32" s="39">
        <v>30003</v>
      </c>
      <c r="AD32" s="39"/>
      <c r="AE32" s="39"/>
      <c r="AF32" s="39"/>
      <c r="AG32" s="55"/>
      <c r="AH32" s="55"/>
      <c r="AI32" s="39"/>
      <c r="AJ32" s="39">
        <v>30192</v>
      </c>
    </row>
    <row r="33" s="23" customFormat="1" spans="1:36">
      <c r="A33" s="39">
        <v>30201</v>
      </c>
      <c r="B33" s="39">
        <v>20</v>
      </c>
      <c r="C33" s="56" t="s">
        <v>160</v>
      </c>
      <c r="D33" s="33" t="s">
        <v>658</v>
      </c>
      <c r="E33" s="33" t="s">
        <v>527</v>
      </c>
      <c r="F33" s="39"/>
      <c r="G33" s="39"/>
      <c r="H33" s="39" t="s">
        <v>659</v>
      </c>
      <c r="I33" s="39" t="s">
        <v>660</v>
      </c>
      <c r="J33" s="39" t="s">
        <v>661</v>
      </c>
      <c r="K33" s="39">
        <v>1</v>
      </c>
      <c r="L33" s="39" t="s">
        <v>662</v>
      </c>
      <c r="M33" s="39" t="str">
        <f t="shared" si="1"/>
        <v>1masterskill_3020</v>
      </c>
      <c r="N33" s="33" t="s">
        <v>663</v>
      </c>
      <c r="O33" s="39">
        <v>3020</v>
      </c>
      <c r="P33" s="33">
        <v>0</v>
      </c>
      <c r="Q33" s="39"/>
      <c r="R33" s="39"/>
      <c r="S33" s="39">
        <v>9</v>
      </c>
      <c r="T33" s="39">
        <v>1</v>
      </c>
      <c r="U33" s="39"/>
      <c r="V33" s="39"/>
      <c r="W33" s="39"/>
      <c r="X33" s="39"/>
      <c r="Y33" s="39">
        <v>2</v>
      </c>
      <c r="Z33" s="39">
        <v>3</v>
      </c>
      <c r="AA33" s="39"/>
      <c r="AB33" s="39">
        <v>4</v>
      </c>
      <c r="AC33" s="39" t="s">
        <v>664</v>
      </c>
      <c r="AD33" s="39"/>
      <c r="AE33" s="39"/>
      <c r="AF33" s="39" t="s">
        <v>562</v>
      </c>
      <c r="AG33" s="39" t="s">
        <v>563</v>
      </c>
      <c r="AH33" s="39">
        <v>0</v>
      </c>
      <c r="AI33" s="33" t="s">
        <v>562</v>
      </c>
      <c r="AJ33" s="39">
        <v>30201</v>
      </c>
    </row>
    <row r="34" s="23" customFormat="1" spans="1:36">
      <c r="A34" s="39">
        <v>30202</v>
      </c>
      <c r="B34" s="39">
        <v>20</v>
      </c>
      <c r="C34" s="56" t="s">
        <v>160</v>
      </c>
      <c r="D34" s="33" t="s">
        <v>658</v>
      </c>
      <c r="E34" s="33" t="s">
        <v>527</v>
      </c>
      <c r="F34" s="39"/>
      <c r="G34" s="39"/>
      <c r="H34" s="39" t="s">
        <v>665</v>
      </c>
      <c r="I34" s="39" t="s">
        <v>666</v>
      </c>
      <c r="J34" s="39" t="s">
        <v>667</v>
      </c>
      <c r="K34" s="39">
        <v>1</v>
      </c>
      <c r="L34" s="39" t="s">
        <v>662</v>
      </c>
      <c r="M34" s="39" t="str">
        <f t="shared" si="1"/>
        <v>1masterskill_3020</v>
      </c>
      <c r="N34" s="33" t="s">
        <v>663</v>
      </c>
      <c r="O34" s="39">
        <v>3020</v>
      </c>
      <c r="P34" s="33">
        <v>0</v>
      </c>
      <c r="Q34" s="39"/>
      <c r="R34" s="39"/>
      <c r="S34" s="39">
        <v>9</v>
      </c>
      <c r="T34" s="39">
        <v>1</v>
      </c>
      <c r="U34" s="39">
        <v>3</v>
      </c>
      <c r="V34" s="39"/>
      <c r="W34" s="39"/>
      <c r="X34" s="39"/>
      <c r="Y34" s="39">
        <v>2</v>
      </c>
      <c r="Z34" s="39">
        <v>5</v>
      </c>
      <c r="AA34" s="39"/>
      <c r="AB34" s="39">
        <v>4</v>
      </c>
      <c r="AC34" s="39" t="s">
        <v>668</v>
      </c>
      <c r="AD34" s="39"/>
      <c r="AE34" s="39"/>
      <c r="AF34" s="39" t="s">
        <v>562</v>
      </c>
      <c r="AG34" s="39" t="s">
        <v>563</v>
      </c>
      <c r="AH34" s="39">
        <v>0</v>
      </c>
      <c r="AI34" s="33" t="s">
        <v>562</v>
      </c>
      <c r="AJ34" s="39">
        <v>30201</v>
      </c>
    </row>
    <row r="35" s="23" customFormat="1" spans="1:36">
      <c r="A35" s="39">
        <v>30203</v>
      </c>
      <c r="B35" s="39">
        <v>20</v>
      </c>
      <c r="C35" s="56" t="s">
        <v>160</v>
      </c>
      <c r="D35" s="33" t="s">
        <v>658</v>
      </c>
      <c r="E35" s="33" t="s">
        <v>527</v>
      </c>
      <c r="F35" s="39"/>
      <c r="G35" s="39"/>
      <c r="H35" s="39" t="s">
        <v>669</v>
      </c>
      <c r="I35" s="39" t="s">
        <v>670</v>
      </c>
      <c r="J35" s="39" t="s">
        <v>671</v>
      </c>
      <c r="K35" s="39">
        <v>1</v>
      </c>
      <c r="L35" s="39" t="s">
        <v>662</v>
      </c>
      <c r="M35" s="39" t="str">
        <f t="shared" si="1"/>
        <v>1masterskill_3020</v>
      </c>
      <c r="N35" s="33" t="s">
        <v>663</v>
      </c>
      <c r="O35" s="39">
        <v>3020</v>
      </c>
      <c r="P35" s="33">
        <v>0</v>
      </c>
      <c r="Q35" s="39"/>
      <c r="R35" s="39"/>
      <c r="S35" s="39">
        <v>9</v>
      </c>
      <c r="T35" s="39">
        <v>1</v>
      </c>
      <c r="U35" s="39">
        <v>5</v>
      </c>
      <c r="V35" s="39"/>
      <c r="W35" s="39"/>
      <c r="X35" s="39"/>
      <c r="Y35" s="39"/>
      <c r="Z35" s="39"/>
      <c r="AA35" s="39"/>
      <c r="AB35" s="39">
        <v>4</v>
      </c>
      <c r="AC35" s="39" t="s">
        <v>672</v>
      </c>
      <c r="AD35" s="39"/>
      <c r="AE35" s="39"/>
      <c r="AF35" s="39" t="s">
        <v>562</v>
      </c>
      <c r="AG35" s="39" t="s">
        <v>563</v>
      </c>
      <c r="AH35" s="39">
        <v>0</v>
      </c>
      <c r="AI35" s="33" t="s">
        <v>562</v>
      </c>
      <c r="AJ35" s="39">
        <v>30201</v>
      </c>
    </row>
    <row r="36" s="23" customFormat="1" spans="1:36">
      <c r="A36" s="39">
        <v>30211</v>
      </c>
      <c r="B36" s="39">
        <v>21</v>
      </c>
      <c r="C36" s="33" t="str">
        <f>_xlfn.XLOOKUP(VALUE(LEFT(A36,4)),[1]统帅!A:A,[1]统帅!D:D,9999)</f>
        <v>西王母</v>
      </c>
      <c r="D36" s="33" t="s">
        <v>673</v>
      </c>
      <c r="E36" s="33" t="s">
        <v>512</v>
      </c>
      <c r="F36" s="39">
        <v>1</v>
      </c>
      <c r="G36" s="39">
        <v>1</v>
      </c>
      <c r="H36" s="39" t="s">
        <v>674</v>
      </c>
      <c r="I36" s="39" t="s">
        <v>675</v>
      </c>
      <c r="J36" s="39"/>
      <c r="K36" s="39"/>
      <c r="L36" s="39" t="s">
        <v>676</v>
      </c>
      <c r="M36" s="39" t="str">
        <f t="shared" si="1"/>
        <v>masterskill_3021</v>
      </c>
      <c r="N36" s="39" t="s">
        <v>677</v>
      </c>
      <c r="O36" s="39">
        <v>3021</v>
      </c>
      <c r="P36" s="33">
        <v>1</v>
      </c>
      <c r="Q36" s="39">
        <v>0</v>
      </c>
      <c r="R36" s="39">
        <v>203</v>
      </c>
      <c r="S36" s="39"/>
      <c r="T36" s="39"/>
      <c r="U36" s="39"/>
      <c r="V36" s="39"/>
      <c r="W36" s="39"/>
      <c r="X36" s="39"/>
      <c r="Y36" s="39">
        <v>1</v>
      </c>
      <c r="Z36" s="39">
        <v>6</v>
      </c>
      <c r="AA36" s="39"/>
      <c r="AB36" s="33"/>
      <c r="AC36" s="39"/>
      <c r="AD36" s="39"/>
      <c r="AE36" s="39"/>
      <c r="AF36" s="39"/>
      <c r="AG36" s="33" t="s">
        <v>550</v>
      </c>
      <c r="AH36" s="39">
        <v>0</v>
      </c>
      <c r="AI36" s="39" t="s">
        <v>551</v>
      </c>
      <c r="AJ36" s="39">
        <v>30211</v>
      </c>
    </row>
    <row r="37" s="23" customFormat="1" spans="1:36">
      <c r="A37" s="39">
        <v>30212</v>
      </c>
      <c r="B37" s="39">
        <v>21</v>
      </c>
      <c r="C37" s="33" t="str">
        <f>_xlfn.XLOOKUP(VALUE(LEFT(A37,4)),[1]统帅!A:A,[1]统帅!D:D,9999)</f>
        <v>西王母</v>
      </c>
      <c r="D37" s="33" t="s">
        <v>673</v>
      </c>
      <c r="E37" s="33" t="s">
        <v>512</v>
      </c>
      <c r="F37" s="39">
        <v>1</v>
      </c>
      <c r="G37" s="39">
        <v>1</v>
      </c>
      <c r="H37" s="39" t="s">
        <v>678</v>
      </c>
      <c r="I37" s="39" t="s">
        <v>678</v>
      </c>
      <c r="J37" s="39"/>
      <c r="K37" s="39"/>
      <c r="L37" s="39" t="s">
        <v>676</v>
      </c>
      <c r="M37" s="39" t="str">
        <f t="shared" si="1"/>
        <v>masterskill_3021</v>
      </c>
      <c r="N37" s="39" t="s">
        <v>677</v>
      </c>
      <c r="O37" s="39">
        <v>3021</v>
      </c>
      <c r="P37" s="33">
        <v>1</v>
      </c>
      <c r="Q37" s="39">
        <v>1</v>
      </c>
      <c r="R37" s="39">
        <v>204</v>
      </c>
      <c r="S37" s="39"/>
      <c r="T37" s="39"/>
      <c r="U37" s="39"/>
      <c r="V37" s="39"/>
      <c r="W37" s="39"/>
      <c r="X37" s="39"/>
      <c r="Y37" s="39"/>
      <c r="Z37" s="39"/>
      <c r="AA37" s="39"/>
      <c r="AB37" s="33"/>
      <c r="AC37" s="39"/>
      <c r="AD37" s="39"/>
      <c r="AE37" s="39"/>
      <c r="AF37" s="39"/>
      <c r="AG37" s="39"/>
      <c r="AH37" s="39"/>
      <c r="AI37" s="39"/>
      <c r="AJ37" s="39">
        <v>30212</v>
      </c>
    </row>
    <row r="38" s="24" customFormat="1" spans="1:36">
      <c r="A38" s="47">
        <v>30221</v>
      </c>
      <c r="B38" s="47">
        <v>22</v>
      </c>
      <c r="C38" s="34" t="str">
        <f>_xlfn.XLOOKUP(VALUE(LEFT(A38,4)),[1]统帅!A:A,[1]统帅!D:D,9999)</f>
        <v>魔礼青</v>
      </c>
      <c r="D38" s="34" t="s">
        <v>679</v>
      </c>
      <c r="E38" s="34" t="s">
        <v>527</v>
      </c>
      <c r="F38" s="47"/>
      <c r="G38" s="47"/>
      <c r="H38" s="47" t="s">
        <v>680</v>
      </c>
      <c r="I38" s="47" t="s">
        <v>680</v>
      </c>
      <c r="J38" s="47"/>
      <c r="K38" s="39"/>
      <c r="L38" s="47"/>
      <c r="M38" s="39" t="str">
        <f t="shared" si="1"/>
        <v/>
      </c>
      <c r="N38" s="34" t="s">
        <v>524</v>
      </c>
      <c r="O38" s="47">
        <v>3022</v>
      </c>
      <c r="P38" s="34">
        <v>0</v>
      </c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>
        <v>5</v>
      </c>
      <c r="AC38" s="47"/>
      <c r="AD38" s="47"/>
      <c r="AE38" s="47"/>
      <c r="AF38" s="34"/>
      <c r="AG38" s="34"/>
      <c r="AH38" s="34"/>
      <c r="AI38" s="34"/>
      <c r="AJ38" s="34"/>
    </row>
    <row r="39" s="31" customFormat="1" spans="1:36">
      <c r="A39" s="53">
        <v>30231</v>
      </c>
      <c r="B39" s="53">
        <v>23</v>
      </c>
      <c r="C39" s="36" t="str">
        <f>_xlfn.XLOOKUP(VALUE(LEFT(A39,4)),[1]统帅!A:A,[1]统帅!D:D,9999)</f>
        <v>文财神</v>
      </c>
      <c r="D39" s="36" t="s">
        <v>681</v>
      </c>
      <c r="E39" s="36" t="s">
        <v>512</v>
      </c>
      <c r="F39" s="53">
        <v>1</v>
      </c>
      <c r="G39" s="53">
        <v>1</v>
      </c>
      <c r="H39" s="53" t="s">
        <v>682</v>
      </c>
      <c r="I39" s="53" t="s">
        <v>682</v>
      </c>
      <c r="J39" s="53"/>
      <c r="K39" s="53"/>
      <c r="L39" s="53" t="s">
        <v>683</v>
      </c>
      <c r="M39" s="53" t="str">
        <f t="shared" si="1"/>
        <v>masterskill_3023</v>
      </c>
      <c r="N39" s="53" t="s">
        <v>684</v>
      </c>
      <c r="O39" s="53">
        <v>3023</v>
      </c>
      <c r="P39" s="36">
        <v>1</v>
      </c>
      <c r="Q39" s="53">
        <v>1</v>
      </c>
      <c r="R39" s="53"/>
      <c r="S39" s="53"/>
      <c r="T39" s="53"/>
      <c r="U39" s="53"/>
      <c r="V39" s="53"/>
      <c r="W39" s="53"/>
      <c r="X39" s="53">
        <v>6</v>
      </c>
      <c r="Y39" s="53"/>
      <c r="Z39" s="53"/>
      <c r="AA39" s="53"/>
      <c r="AB39" s="36"/>
      <c r="AC39" s="53">
        <v>2</v>
      </c>
      <c r="AD39" s="53"/>
      <c r="AE39" s="53"/>
      <c r="AF39" s="53"/>
      <c r="AG39" s="36" t="s">
        <v>550</v>
      </c>
      <c r="AH39" s="53" t="s">
        <v>243</v>
      </c>
      <c r="AI39" s="53" t="s">
        <v>551</v>
      </c>
      <c r="AJ39" s="53">
        <v>30231</v>
      </c>
    </row>
    <row r="40" s="31" customFormat="1" spans="1:36">
      <c r="A40" s="53">
        <v>30232</v>
      </c>
      <c r="B40" s="53">
        <v>23</v>
      </c>
      <c r="C40" s="36" t="str">
        <f>_xlfn.XLOOKUP(VALUE(LEFT(A40,4)),[1]统帅!A:A,[1]统帅!D:D,9999)</f>
        <v>文财神</v>
      </c>
      <c r="D40" s="36" t="s">
        <v>681</v>
      </c>
      <c r="E40" s="36" t="s">
        <v>512</v>
      </c>
      <c r="F40" s="53">
        <v>1</v>
      </c>
      <c r="G40" s="53">
        <v>1</v>
      </c>
      <c r="H40" s="53" t="s">
        <v>685</v>
      </c>
      <c r="I40" s="53" t="s">
        <v>685</v>
      </c>
      <c r="J40" s="53"/>
      <c r="K40" s="53"/>
      <c r="L40" s="53" t="s">
        <v>683</v>
      </c>
      <c r="M40" s="53" t="str">
        <f t="shared" si="1"/>
        <v>masterskill_3023</v>
      </c>
      <c r="N40" s="53" t="s">
        <v>684</v>
      </c>
      <c r="O40" s="53">
        <v>3023</v>
      </c>
      <c r="P40" s="36">
        <v>1</v>
      </c>
      <c r="Q40" s="53">
        <v>1</v>
      </c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36"/>
      <c r="AC40" s="53">
        <v>2</v>
      </c>
      <c r="AD40" s="53"/>
      <c r="AE40" s="53"/>
      <c r="AF40" s="53"/>
      <c r="AG40" s="53"/>
      <c r="AH40" s="53"/>
      <c r="AI40" s="53"/>
      <c r="AJ40" s="53">
        <v>30232</v>
      </c>
    </row>
    <row r="41" s="28" customFormat="1" spans="1:36">
      <c r="A41" s="52">
        <v>30241</v>
      </c>
      <c r="B41" s="52">
        <v>24</v>
      </c>
      <c r="C41" s="35" t="str">
        <f>_xlfn.XLOOKUP(VALUE(LEFT(A41,4)),[1]统帅!A:A,[1]统帅!D:D,9999)</f>
        <v>文财神</v>
      </c>
      <c r="D41" s="35" t="s">
        <v>686</v>
      </c>
      <c r="E41" s="35" t="s">
        <v>527</v>
      </c>
      <c r="F41" s="52"/>
      <c r="G41" s="52"/>
      <c r="H41" s="52" t="s">
        <v>687</v>
      </c>
      <c r="I41" s="52" t="s">
        <v>688</v>
      </c>
      <c r="J41" s="52" t="s">
        <v>689</v>
      </c>
      <c r="K41" s="39">
        <v>1</v>
      </c>
      <c r="L41" s="52" t="s">
        <v>683</v>
      </c>
      <c r="M41" s="52" t="str">
        <f t="shared" si="1"/>
        <v>1masterskill_3023</v>
      </c>
      <c r="N41" s="52" t="s">
        <v>684</v>
      </c>
      <c r="O41" s="52">
        <v>3024</v>
      </c>
      <c r="P41" s="35">
        <v>0</v>
      </c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>
        <v>6</v>
      </c>
      <c r="AC41" s="52" t="s">
        <v>690</v>
      </c>
      <c r="AD41" s="52" t="s">
        <v>691</v>
      </c>
      <c r="AE41" s="52">
        <v>1</v>
      </c>
      <c r="AF41" s="52" t="s">
        <v>692</v>
      </c>
      <c r="AG41" s="52" t="s">
        <v>544</v>
      </c>
      <c r="AH41" s="52" t="s">
        <v>693</v>
      </c>
      <c r="AI41" s="52" t="s">
        <v>692</v>
      </c>
      <c r="AJ41" s="52">
        <v>30241</v>
      </c>
    </row>
    <row r="42" s="23" customFormat="1" spans="1:36">
      <c r="A42" s="39">
        <v>30251</v>
      </c>
      <c r="B42" s="39">
        <v>25</v>
      </c>
      <c r="C42" s="57" t="str">
        <f>_xlfn.XLOOKUP(VALUE(LEFT(A42,4)),[1]统帅!A:A,[1]统帅!D:D,9999)</f>
        <v>镇元子</v>
      </c>
      <c r="D42" s="33" t="s">
        <v>694</v>
      </c>
      <c r="E42" s="33" t="s">
        <v>512</v>
      </c>
      <c r="F42" s="39">
        <v>3</v>
      </c>
      <c r="G42" s="39">
        <v>3</v>
      </c>
      <c r="H42" s="39" t="s">
        <v>695</v>
      </c>
      <c r="I42" s="39" t="s">
        <v>695</v>
      </c>
      <c r="J42" s="39" t="s">
        <v>695</v>
      </c>
      <c r="K42" s="39"/>
      <c r="L42" s="39" t="s">
        <v>696</v>
      </c>
      <c r="M42" s="39" t="str">
        <f t="shared" si="1"/>
        <v>masterskill_3025</v>
      </c>
      <c r="N42" s="39" t="s">
        <v>697</v>
      </c>
      <c r="O42" s="39">
        <v>3025</v>
      </c>
      <c r="P42" s="33">
        <v>1</v>
      </c>
      <c r="Q42" s="39">
        <v>0</v>
      </c>
      <c r="R42" s="39">
        <v>201</v>
      </c>
      <c r="S42" s="39"/>
      <c r="T42" s="39"/>
      <c r="U42" s="39"/>
      <c r="V42" s="39"/>
      <c r="W42" s="39"/>
      <c r="X42" s="39"/>
      <c r="Y42" s="39"/>
      <c r="Z42" s="39"/>
      <c r="AA42" s="39"/>
      <c r="AB42" s="33"/>
      <c r="AC42" s="39" t="s">
        <v>698</v>
      </c>
      <c r="AD42" s="39" t="s">
        <v>699</v>
      </c>
      <c r="AE42" s="39"/>
      <c r="AF42" s="39"/>
      <c r="AG42" s="39"/>
      <c r="AH42" s="39"/>
      <c r="AI42" s="39"/>
      <c r="AJ42" s="39">
        <v>30251</v>
      </c>
    </row>
    <row r="43" s="25" customFormat="1" spans="1:36">
      <c r="A43" s="39">
        <v>30252</v>
      </c>
      <c r="B43" s="39">
        <v>25</v>
      </c>
      <c r="C43" s="57" t="str">
        <f>_xlfn.XLOOKUP(VALUE(LEFT(A43,4)),[1]统帅!A:A,[1]统帅!D:D,9999)</f>
        <v>镇元子</v>
      </c>
      <c r="D43" s="33" t="s">
        <v>694</v>
      </c>
      <c r="E43" s="33" t="s">
        <v>512</v>
      </c>
      <c r="F43" s="39">
        <v>3</v>
      </c>
      <c r="G43" s="39">
        <v>3</v>
      </c>
      <c r="H43" s="39" t="s">
        <v>700</v>
      </c>
      <c r="I43" s="39" t="s">
        <v>701</v>
      </c>
      <c r="J43" s="39"/>
      <c r="K43" s="39"/>
      <c r="L43" s="39" t="s">
        <v>696</v>
      </c>
      <c r="M43" s="39" t="str">
        <f t="shared" si="1"/>
        <v>masterskill_3025</v>
      </c>
      <c r="N43" s="39" t="s">
        <v>697</v>
      </c>
      <c r="O43" s="39">
        <v>3025</v>
      </c>
      <c r="P43" s="33">
        <v>1</v>
      </c>
      <c r="Q43" s="39">
        <v>1</v>
      </c>
      <c r="R43" s="39">
        <v>201</v>
      </c>
      <c r="S43" s="39"/>
      <c r="T43" s="39"/>
      <c r="U43" s="39"/>
      <c r="V43" s="39"/>
      <c r="W43" s="39"/>
      <c r="X43" s="39"/>
      <c r="Y43" s="39"/>
      <c r="Z43" s="39"/>
      <c r="AA43" s="39"/>
      <c r="AB43" s="33"/>
      <c r="AC43" s="39" t="s">
        <v>698</v>
      </c>
      <c r="AD43" s="39" t="s">
        <v>699</v>
      </c>
      <c r="AE43" s="39"/>
      <c r="AF43" s="39" t="s">
        <v>702</v>
      </c>
      <c r="AG43" s="39" t="s">
        <v>550</v>
      </c>
      <c r="AH43" s="39">
        <v>0</v>
      </c>
      <c r="AI43" s="39" t="s">
        <v>702</v>
      </c>
      <c r="AJ43" s="39">
        <v>30251</v>
      </c>
    </row>
    <row r="44" s="28" customFormat="1" spans="1:36">
      <c r="A44" s="52">
        <v>30261</v>
      </c>
      <c r="B44" s="52">
        <v>26</v>
      </c>
      <c r="C44" s="35" t="str">
        <f>_xlfn.XLOOKUP(VALUE(LEFT(A44,4)),[1]统帅!A:A,[1]统帅!D:D,9999)</f>
        <v>银角大王</v>
      </c>
      <c r="D44" s="35" t="s">
        <v>703</v>
      </c>
      <c r="E44" s="35" t="s">
        <v>512</v>
      </c>
      <c r="F44" s="52">
        <v>1</v>
      </c>
      <c r="G44" s="52">
        <v>1</v>
      </c>
      <c r="H44" s="52" t="s">
        <v>704</v>
      </c>
      <c r="I44" s="52" t="s">
        <v>705</v>
      </c>
      <c r="J44" s="52" t="s">
        <v>704</v>
      </c>
      <c r="K44" s="39"/>
      <c r="L44" s="52"/>
      <c r="M44" s="52" t="str">
        <f t="shared" si="1"/>
        <v/>
      </c>
      <c r="N44" s="52" t="s">
        <v>706</v>
      </c>
      <c r="O44" s="52">
        <v>3026</v>
      </c>
      <c r="P44" s="35">
        <v>1</v>
      </c>
      <c r="Q44" s="52">
        <v>0</v>
      </c>
      <c r="R44" s="52">
        <v>204</v>
      </c>
      <c r="S44" s="52"/>
      <c r="T44" s="52"/>
      <c r="U44" s="52"/>
      <c r="V44" s="52"/>
      <c r="W44" s="52"/>
      <c r="X44" s="52"/>
      <c r="Y44" s="52"/>
      <c r="Z44" s="52"/>
      <c r="AA44" s="52"/>
      <c r="AB44" s="35"/>
      <c r="AC44" s="52"/>
      <c r="AD44" s="52"/>
      <c r="AE44" s="52"/>
      <c r="AF44" s="52"/>
      <c r="AG44" s="35"/>
      <c r="AH44" s="52"/>
      <c r="AI44" s="52"/>
      <c r="AJ44" s="52">
        <v>30261</v>
      </c>
    </row>
    <row r="45" s="24" customFormat="1" spans="1:36">
      <c r="A45" s="47">
        <v>30262</v>
      </c>
      <c r="B45" s="47">
        <v>26</v>
      </c>
      <c r="C45" s="34" t="str">
        <f>_xlfn.XLOOKUP(VALUE(LEFT(A45,4)),[1]统帅!A:A,[1]统帅!D:D,9999)</f>
        <v>银角大王</v>
      </c>
      <c r="D45" s="34" t="s">
        <v>703</v>
      </c>
      <c r="E45" s="34" t="s">
        <v>512</v>
      </c>
      <c r="F45" s="47">
        <v>1</v>
      </c>
      <c r="G45" s="47">
        <v>1</v>
      </c>
      <c r="H45" s="47" t="s">
        <v>707</v>
      </c>
      <c r="I45" s="47" t="s">
        <v>708</v>
      </c>
      <c r="J45" s="47"/>
      <c r="K45" s="39"/>
      <c r="L45" s="47"/>
      <c r="M45" s="47" t="str">
        <f t="shared" si="1"/>
        <v/>
      </c>
      <c r="N45" s="47" t="s">
        <v>706</v>
      </c>
      <c r="O45" s="47">
        <v>3026</v>
      </c>
      <c r="P45" s="34">
        <v>1</v>
      </c>
      <c r="Q45" s="47">
        <v>0</v>
      </c>
      <c r="R45" s="47">
        <v>204</v>
      </c>
      <c r="S45" s="47"/>
      <c r="T45" s="47"/>
      <c r="U45" s="47"/>
      <c r="V45" s="47"/>
      <c r="W45" s="47"/>
      <c r="X45" s="47"/>
      <c r="Y45" s="47"/>
      <c r="Z45" s="47"/>
      <c r="AA45" s="47"/>
      <c r="AB45" s="34"/>
      <c r="AC45" s="47"/>
      <c r="AD45" s="47"/>
      <c r="AE45" s="47"/>
      <c r="AF45" s="47"/>
      <c r="AG45" s="47"/>
      <c r="AH45" s="47"/>
      <c r="AI45" s="47"/>
      <c r="AJ45" s="47">
        <v>30262</v>
      </c>
    </row>
    <row r="46" s="24" customFormat="1" spans="1:36">
      <c r="A46" s="47">
        <v>30271</v>
      </c>
      <c r="B46" s="47">
        <v>27</v>
      </c>
      <c r="C46" s="34" t="str">
        <f>_xlfn.XLOOKUP(VALUE(LEFT(A46,4)),[1]统帅!A:A,[1]统帅!D:D,9999)</f>
        <v>混世魔王</v>
      </c>
      <c r="D46" s="34" t="s">
        <v>709</v>
      </c>
      <c r="E46" s="34" t="s">
        <v>512</v>
      </c>
      <c r="F46" s="47">
        <v>1</v>
      </c>
      <c r="G46" s="47">
        <v>1</v>
      </c>
      <c r="H46" s="47" t="s">
        <v>710</v>
      </c>
      <c r="I46" s="47" t="s">
        <v>710</v>
      </c>
      <c r="J46" s="47"/>
      <c r="K46" s="39"/>
      <c r="L46" s="47"/>
      <c r="M46" s="39" t="str">
        <f t="shared" si="1"/>
        <v/>
      </c>
      <c r="N46" s="47" t="s">
        <v>711</v>
      </c>
      <c r="O46" s="47">
        <v>3027</v>
      </c>
      <c r="P46" s="34">
        <v>1</v>
      </c>
      <c r="Q46" s="47">
        <v>2</v>
      </c>
      <c r="R46" s="47"/>
      <c r="S46" s="47"/>
      <c r="T46" s="47"/>
      <c r="U46" s="47">
        <v>2</v>
      </c>
      <c r="V46" s="47"/>
      <c r="W46" s="47"/>
      <c r="X46" s="47"/>
      <c r="Y46" s="47"/>
      <c r="Z46" s="47"/>
      <c r="AA46" s="47"/>
      <c r="AB46" s="34"/>
      <c r="AC46" s="47"/>
      <c r="AD46" s="47"/>
      <c r="AE46" s="47"/>
      <c r="AF46" s="47"/>
      <c r="AG46" s="47"/>
      <c r="AH46" s="47"/>
      <c r="AI46" s="47"/>
      <c r="AJ46" s="34"/>
    </row>
    <row r="47" s="23" customFormat="1" spans="1:36">
      <c r="A47" s="39">
        <v>30281</v>
      </c>
      <c r="B47" s="39">
        <v>28</v>
      </c>
      <c r="C47" s="33" t="str">
        <f>_xlfn.XLOOKUP(VALUE(LEFT(A47,4)),[1]统帅!A:A,[1]统帅!D:D,9999)</f>
        <v>观音大神</v>
      </c>
      <c r="D47" s="33" t="s">
        <v>712</v>
      </c>
      <c r="E47" s="33" t="s">
        <v>512</v>
      </c>
      <c r="F47" s="39">
        <v>2</v>
      </c>
      <c r="G47" s="39">
        <v>2</v>
      </c>
      <c r="H47" s="39" t="s">
        <v>713</v>
      </c>
      <c r="I47" s="39" t="s">
        <v>714</v>
      </c>
      <c r="J47" s="39" t="s">
        <v>713</v>
      </c>
      <c r="K47" s="39"/>
      <c r="L47" s="39" t="s">
        <v>715</v>
      </c>
      <c r="M47" s="39" t="str">
        <f t="shared" si="1"/>
        <v>masterskill_3028</v>
      </c>
      <c r="N47" s="39" t="s">
        <v>716</v>
      </c>
      <c r="O47" s="39">
        <v>3028</v>
      </c>
      <c r="P47" s="33">
        <v>1</v>
      </c>
      <c r="Q47" s="39">
        <v>3</v>
      </c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3"/>
      <c r="AC47" s="39"/>
      <c r="AD47" s="39"/>
      <c r="AE47" s="39"/>
      <c r="AF47" s="39"/>
      <c r="AG47" s="39"/>
      <c r="AH47" s="39"/>
      <c r="AI47" s="39"/>
      <c r="AJ47" s="39">
        <v>30281</v>
      </c>
    </row>
    <row r="48" s="32" customFormat="1" spans="1:36">
      <c r="A48" s="47">
        <v>30282</v>
      </c>
      <c r="B48" s="47">
        <v>28</v>
      </c>
      <c r="C48" s="34" t="str">
        <f>_xlfn.XLOOKUP(VALUE(LEFT(A48,4)),[1]统帅!A:A,[1]统帅!D:D,9999)</f>
        <v>观音大神</v>
      </c>
      <c r="D48" s="34" t="s">
        <v>712</v>
      </c>
      <c r="E48" s="34" t="s">
        <v>512</v>
      </c>
      <c r="F48" s="47">
        <v>2</v>
      </c>
      <c r="G48" s="47">
        <v>2</v>
      </c>
      <c r="H48" s="47" t="s">
        <v>717</v>
      </c>
      <c r="I48" s="47" t="s">
        <v>718</v>
      </c>
      <c r="J48" s="47"/>
      <c r="K48" s="39"/>
      <c r="L48" s="47" t="s">
        <v>715</v>
      </c>
      <c r="M48" s="47" t="str">
        <f t="shared" si="1"/>
        <v>masterskill_3028</v>
      </c>
      <c r="N48" s="47" t="s">
        <v>716</v>
      </c>
      <c r="O48" s="47">
        <v>3028</v>
      </c>
      <c r="P48" s="34">
        <v>1</v>
      </c>
      <c r="Q48" s="47">
        <v>2</v>
      </c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34"/>
      <c r="AC48" s="47"/>
      <c r="AD48" s="47"/>
      <c r="AE48" s="47"/>
      <c r="AF48" s="47" t="s">
        <v>702</v>
      </c>
      <c r="AG48" s="47" t="s">
        <v>550</v>
      </c>
      <c r="AH48" s="47">
        <v>0</v>
      </c>
      <c r="AI48" s="47" t="s">
        <v>702</v>
      </c>
      <c r="AJ48" s="47">
        <v>30281</v>
      </c>
    </row>
    <row r="49" s="24" customFormat="1" spans="1:36">
      <c r="A49" s="47">
        <v>30291</v>
      </c>
      <c r="B49" s="47">
        <v>29</v>
      </c>
      <c r="C49" s="34" t="str">
        <f>_xlfn.XLOOKUP(VALUE(LEFT(A49,4)),[1]统帅!A:A,[1]统帅!D:D,9999)</f>
        <v>女儿国王</v>
      </c>
      <c r="D49" s="34" t="s">
        <v>719</v>
      </c>
      <c r="E49" s="34" t="s">
        <v>527</v>
      </c>
      <c r="F49" s="47"/>
      <c r="G49" s="47"/>
      <c r="H49" s="47" t="s">
        <v>720</v>
      </c>
      <c r="I49" s="47" t="s">
        <v>720</v>
      </c>
      <c r="J49" s="47"/>
      <c r="K49" s="39"/>
      <c r="L49" s="47"/>
      <c r="M49" s="39" t="str">
        <f t="shared" si="1"/>
        <v/>
      </c>
      <c r="N49" s="47" t="s">
        <v>524</v>
      </c>
      <c r="O49" s="47">
        <v>3029</v>
      </c>
      <c r="P49" s="34">
        <v>0</v>
      </c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>
        <v>7</v>
      </c>
      <c r="AC49" s="47" t="s">
        <v>721</v>
      </c>
      <c r="AD49" s="47"/>
      <c r="AE49" s="47"/>
      <c r="AF49" s="47"/>
      <c r="AG49" s="47"/>
      <c r="AH49" s="47"/>
      <c r="AI49" s="47"/>
      <c r="AJ49" s="34"/>
    </row>
    <row r="50" s="23" customFormat="1" spans="1:36">
      <c r="A50" s="39">
        <v>30301</v>
      </c>
      <c r="B50" s="39">
        <v>30</v>
      </c>
      <c r="C50" s="33" t="s">
        <v>186</v>
      </c>
      <c r="D50" s="33" t="s">
        <v>722</v>
      </c>
      <c r="E50" s="33" t="s">
        <v>527</v>
      </c>
      <c r="F50" s="39"/>
      <c r="G50" s="39"/>
      <c r="H50" s="39" t="s">
        <v>723</v>
      </c>
      <c r="I50" s="39" t="s">
        <v>724</v>
      </c>
      <c r="J50" s="39" t="s">
        <v>723</v>
      </c>
      <c r="K50" s="39">
        <v>1</v>
      </c>
      <c r="L50" s="39" t="s">
        <v>725</v>
      </c>
      <c r="M50" s="39" t="s">
        <v>726</v>
      </c>
      <c r="N50" s="39" t="s">
        <v>727</v>
      </c>
      <c r="O50" s="39">
        <v>3030</v>
      </c>
      <c r="P50" s="33">
        <v>0</v>
      </c>
      <c r="Q50" s="39"/>
      <c r="R50" s="39"/>
      <c r="S50" s="39">
        <v>9</v>
      </c>
      <c r="T50" s="39">
        <v>1</v>
      </c>
      <c r="U50" s="39"/>
      <c r="V50" s="39"/>
      <c r="W50" s="39"/>
      <c r="X50" s="39"/>
      <c r="Y50" s="39"/>
      <c r="Z50" s="39"/>
      <c r="AA50" s="39"/>
      <c r="AB50" s="39"/>
      <c r="AC50" s="39" t="s">
        <v>728</v>
      </c>
      <c r="AD50" s="39"/>
      <c r="AE50" s="39"/>
      <c r="AF50" s="39" t="s">
        <v>520</v>
      </c>
      <c r="AG50" s="39"/>
      <c r="AH50" s="39" t="s">
        <v>593</v>
      </c>
      <c r="AI50" s="39" t="s">
        <v>520</v>
      </c>
      <c r="AJ50" s="39">
        <v>30301</v>
      </c>
    </row>
    <row r="51" s="23" customFormat="1" spans="1:36">
      <c r="A51" s="39">
        <v>30311</v>
      </c>
      <c r="B51" s="39">
        <v>31</v>
      </c>
      <c r="C51" s="33" t="str">
        <f>_xlfn.XLOOKUP(VALUE(LEFT(A51,4)),[1]统帅!A:A,[1]统帅!D:D,9999)</f>
        <v>黄狮精</v>
      </c>
      <c r="D51" s="33" t="s">
        <v>729</v>
      </c>
      <c r="E51" s="33" t="s">
        <v>512</v>
      </c>
      <c r="F51" s="39">
        <v>3</v>
      </c>
      <c r="G51" s="39">
        <v>6</v>
      </c>
      <c r="H51" s="39" t="s">
        <v>730</v>
      </c>
      <c r="I51" s="39" t="s">
        <v>731</v>
      </c>
      <c r="J51" s="39" t="s">
        <v>732</v>
      </c>
      <c r="K51" s="39">
        <v>1</v>
      </c>
      <c r="L51" s="39" t="s">
        <v>733</v>
      </c>
      <c r="M51" s="39" t="str">
        <f t="shared" si="1"/>
        <v>1masterskill_3031</v>
      </c>
      <c r="N51" s="39" t="s">
        <v>734</v>
      </c>
      <c r="O51" s="39">
        <v>3031</v>
      </c>
      <c r="P51" s="33">
        <v>1</v>
      </c>
      <c r="Q51" s="39">
        <v>0</v>
      </c>
      <c r="R51" s="39">
        <v>201</v>
      </c>
      <c r="S51" s="39"/>
      <c r="T51" s="39"/>
      <c r="U51" s="39"/>
      <c r="V51" s="39"/>
      <c r="W51" s="39"/>
      <c r="X51" s="39"/>
      <c r="Y51" s="39"/>
      <c r="Z51" s="39"/>
      <c r="AA51" s="39"/>
      <c r="AB51" s="33"/>
      <c r="AC51" s="39" t="s">
        <v>735</v>
      </c>
      <c r="AD51" s="39" t="s">
        <v>736</v>
      </c>
      <c r="AE51" s="39"/>
      <c r="AF51" s="39" t="s">
        <v>520</v>
      </c>
      <c r="AG51" s="39"/>
      <c r="AH51" s="39" t="s">
        <v>521</v>
      </c>
      <c r="AI51" s="39" t="s">
        <v>520</v>
      </c>
      <c r="AJ51" s="39">
        <v>30311</v>
      </c>
    </row>
    <row r="52" s="24" customFormat="1" spans="1:36">
      <c r="A52" s="47">
        <v>30321</v>
      </c>
      <c r="B52" s="47">
        <v>32</v>
      </c>
      <c r="C52" s="34" t="str">
        <f>_xlfn.XLOOKUP(VALUE(LEFT(A52,4)),[1]统帅!A:A,[1]统帅!D:D,9999)</f>
        <v>西王母</v>
      </c>
      <c r="D52" s="34" t="s">
        <v>737</v>
      </c>
      <c r="E52" s="34" t="s">
        <v>527</v>
      </c>
      <c r="F52" s="47"/>
      <c r="G52" s="47"/>
      <c r="H52" s="47" t="s">
        <v>738</v>
      </c>
      <c r="I52" s="47" t="s">
        <v>738</v>
      </c>
      <c r="J52" s="47"/>
      <c r="K52" s="39"/>
      <c r="L52" s="47"/>
      <c r="M52" s="39" t="str">
        <f t="shared" si="1"/>
        <v/>
      </c>
      <c r="N52" s="47" t="s">
        <v>549</v>
      </c>
      <c r="O52" s="47">
        <v>3032</v>
      </c>
      <c r="P52" s="34">
        <v>0</v>
      </c>
      <c r="Q52" s="47"/>
      <c r="R52" s="47"/>
      <c r="S52" s="47"/>
      <c r="T52" s="47"/>
      <c r="U52" s="47"/>
      <c r="V52" s="47"/>
      <c r="W52" s="47"/>
      <c r="X52" s="47"/>
      <c r="Y52" s="47">
        <v>2</v>
      </c>
      <c r="Z52" s="47">
        <v>5</v>
      </c>
      <c r="AA52" s="47"/>
      <c r="AB52" s="47">
        <v>10</v>
      </c>
      <c r="AC52" s="47" t="s">
        <v>739</v>
      </c>
      <c r="AD52" s="47"/>
      <c r="AE52" s="47"/>
      <c r="AF52" s="47"/>
      <c r="AG52" s="47"/>
      <c r="AH52" s="47"/>
      <c r="AI52" s="47"/>
      <c r="AJ52" s="34"/>
    </row>
    <row r="53" s="24" customFormat="1" spans="1:36">
      <c r="A53" s="47">
        <v>30322</v>
      </c>
      <c r="B53" s="47">
        <v>32</v>
      </c>
      <c r="C53" s="34" t="str">
        <f>_xlfn.XLOOKUP(VALUE(LEFT(A53,4)),[1]统帅!A:A,[1]统帅!D:D,9999)</f>
        <v>西王母</v>
      </c>
      <c r="D53" s="34" t="s">
        <v>737</v>
      </c>
      <c r="E53" s="34" t="s">
        <v>527</v>
      </c>
      <c r="F53" s="47"/>
      <c r="G53" s="47"/>
      <c r="H53" s="47" t="s">
        <v>740</v>
      </c>
      <c r="I53" s="47" t="s">
        <v>740</v>
      </c>
      <c r="J53" s="47"/>
      <c r="K53" s="39"/>
      <c r="L53" s="47"/>
      <c r="M53" s="39" t="str">
        <f t="shared" si="1"/>
        <v/>
      </c>
      <c r="N53" s="47" t="s">
        <v>549</v>
      </c>
      <c r="O53" s="47">
        <v>3032</v>
      </c>
      <c r="P53" s="34">
        <v>0</v>
      </c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>
        <v>10</v>
      </c>
      <c r="AC53" s="47" t="s">
        <v>741</v>
      </c>
      <c r="AD53" s="47"/>
      <c r="AE53" s="47"/>
      <c r="AF53" s="47"/>
      <c r="AG53" s="47"/>
      <c r="AH53" s="47"/>
      <c r="AI53" s="47"/>
      <c r="AJ53" s="34"/>
    </row>
    <row r="54" s="23" customFormat="1" spans="1:36">
      <c r="A54" s="39">
        <v>30331</v>
      </c>
      <c r="B54" s="39">
        <v>33</v>
      </c>
      <c r="C54" s="33" t="str">
        <f>_xlfn.XLOOKUP(VALUE(LEFT(A54,4)),[1]统帅!A:A,[1]统帅!D:D,9999)</f>
        <v>孟婆</v>
      </c>
      <c r="D54" s="33" t="s">
        <v>742</v>
      </c>
      <c r="E54" s="33" t="s">
        <v>512</v>
      </c>
      <c r="F54" s="39">
        <v>4</v>
      </c>
      <c r="G54" s="39">
        <v>1</v>
      </c>
      <c r="H54" s="39" t="s">
        <v>743</v>
      </c>
      <c r="I54" s="39" t="s">
        <v>744</v>
      </c>
      <c r="J54" s="39"/>
      <c r="K54" s="39"/>
      <c r="L54" s="39" t="s">
        <v>745</v>
      </c>
      <c r="M54" s="39" t="str">
        <f t="shared" si="1"/>
        <v>masterskill_3033</v>
      </c>
      <c r="N54" s="39" t="s">
        <v>746</v>
      </c>
      <c r="O54" s="39">
        <v>3033</v>
      </c>
      <c r="P54" s="33">
        <v>1</v>
      </c>
      <c r="Q54" s="39">
        <v>0</v>
      </c>
      <c r="R54" s="39">
        <v>202</v>
      </c>
      <c r="S54" s="39"/>
      <c r="T54" s="39"/>
      <c r="U54" s="39"/>
      <c r="V54" s="39"/>
      <c r="W54" s="39"/>
      <c r="X54" s="39"/>
      <c r="Y54" s="39">
        <v>1</v>
      </c>
      <c r="Z54" s="39">
        <v>5</v>
      </c>
      <c r="AA54" s="39"/>
      <c r="AB54" s="33"/>
      <c r="AC54" s="39"/>
      <c r="AD54" s="39"/>
      <c r="AE54" s="39"/>
      <c r="AF54" s="39" t="s">
        <v>702</v>
      </c>
      <c r="AG54" s="39" t="s">
        <v>550</v>
      </c>
      <c r="AH54" s="39">
        <v>0</v>
      </c>
      <c r="AI54" s="39" t="s">
        <v>702</v>
      </c>
      <c r="AJ54" s="39">
        <v>30331</v>
      </c>
    </row>
    <row r="55" s="25" customFormat="1" spans="1:36">
      <c r="A55" s="39">
        <v>30332</v>
      </c>
      <c r="B55" s="39">
        <v>33</v>
      </c>
      <c r="C55" s="33" t="str">
        <f>_xlfn.XLOOKUP(VALUE(LEFT(A55,4)),[1]统帅!A:A,[1]统帅!D:D,9999)</f>
        <v>孟婆</v>
      </c>
      <c r="D55" s="33" t="s">
        <v>742</v>
      </c>
      <c r="E55" s="33" t="s">
        <v>512</v>
      </c>
      <c r="F55" s="39">
        <v>4</v>
      </c>
      <c r="G55" s="39">
        <v>1</v>
      </c>
      <c r="H55" s="39" t="s">
        <v>743</v>
      </c>
      <c r="I55" s="39" t="s">
        <v>744</v>
      </c>
      <c r="J55" s="39"/>
      <c r="K55" s="39"/>
      <c r="L55" s="39" t="s">
        <v>745</v>
      </c>
      <c r="M55" s="39" t="str">
        <f t="shared" si="1"/>
        <v>masterskill_3033</v>
      </c>
      <c r="N55" s="39" t="s">
        <v>746</v>
      </c>
      <c r="O55" s="39">
        <v>3033</v>
      </c>
      <c r="P55" s="33">
        <v>1</v>
      </c>
      <c r="Q55" s="39">
        <v>1</v>
      </c>
      <c r="R55" s="39">
        <v>202</v>
      </c>
      <c r="S55" s="39"/>
      <c r="T55" s="39"/>
      <c r="U55" s="39"/>
      <c r="V55" s="39"/>
      <c r="W55" s="39"/>
      <c r="X55" s="39"/>
      <c r="Y55" s="39"/>
      <c r="Z55" s="39"/>
      <c r="AA55" s="39"/>
      <c r="AB55" s="33"/>
      <c r="AC55" s="39"/>
      <c r="AD55" s="39"/>
      <c r="AE55" s="39"/>
      <c r="AF55" s="39" t="s">
        <v>702</v>
      </c>
      <c r="AG55" s="39" t="s">
        <v>550</v>
      </c>
      <c r="AH55" s="39">
        <v>0</v>
      </c>
      <c r="AI55" s="39" t="s">
        <v>702</v>
      </c>
      <c r="AJ55" s="39">
        <v>30331</v>
      </c>
    </row>
    <row r="56" s="28" customFormat="1" spans="1:36">
      <c r="A56" s="52">
        <v>30341</v>
      </c>
      <c r="B56" s="52">
        <v>34</v>
      </c>
      <c r="C56" s="35" t="str">
        <f>_xlfn.XLOOKUP(VALUE(LEFT(A56,4)),[1]统帅!A:A,[1]统帅!D:D,9999)</f>
        <v>女儿国王</v>
      </c>
      <c r="D56" s="35" t="s">
        <v>719</v>
      </c>
      <c r="E56" s="35" t="s">
        <v>527</v>
      </c>
      <c r="F56" s="52"/>
      <c r="G56" s="52"/>
      <c r="H56" s="52" t="s">
        <v>747</v>
      </c>
      <c r="I56" s="52" t="s">
        <v>748</v>
      </c>
      <c r="J56" s="52"/>
      <c r="K56" s="39"/>
      <c r="L56" s="52" t="s">
        <v>749</v>
      </c>
      <c r="M56" s="52" t="str">
        <f t="shared" si="1"/>
        <v>masterskill_3034</v>
      </c>
      <c r="N56" s="52" t="s">
        <v>750</v>
      </c>
      <c r="O56" s="52">
        <v>3034</v>
      </c>
      <c r="P56" s="35">
        <v>0</v>
      </c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>
        <v>8</v>
      </c>
      <c r="AC56" s="52" t="s">
        <v>751</v>
      </c>
      <c r="AD56" s="52"/>
      <c r="AE56" s="52"/>
      <c r="AF56" s="52" t="s">
        <v>604</v>
      </c>
      <c r="AG56" s="52"/>
      <c r="AH56" s="52">
        <v>1</v>
      </c>
      <c r="AI56" s="52" t="s">
        <v>604</v>
      </c>
      <c r="AJ56" s="52">
        <v>30341</v>
      </c>
    </row>
    <row r="57" s="24" customFormat="1" spans="1:36">
      <c r="A57" s="47">
        <v>30351</v>
      </c>
      <c r="B57" s="47">
        <v>35</v>
      </c>
      <c r="C57" s="34" t="str">
        <f>_xlfn.XLOOKUP(VALUE(LEFT(A57,4)),[1]统帅!A:A,[1]统帅!D:D,9999)</f>
        <v>弥勒佛</v>
      </c>
      <c r="D57" s="34" t="s">
        <v>752</v>
      </c>
      <c r="E57" s="34" t="s">
        <v>512</v>
      </c>
      <c r="F57" s="47">
        <v>4</v>
      </c>
      <c r="G57" s="47">
        <v>16</v>
      </c>
      <c r="H57" s="47" t="s">
        <v>753</v>
      </c>
      <c r="I57" s="47" t="s">
        <v>754</v>
      </c>
      <c r="J57" s="47"/>
      <c r="K57" s="39"/>
      <c r="L57" s="47"/>
      <c r="M57" s="39" t="str">
        <f t="shared" si="1"/>
        <v/>
      </c>
      <c r="N57" s="47" t="s">
        <v>755</v>
      </c>
      <c r="O57" s="47">
        <v>3035</v>
      </c>
      <c r="P57" s="34">
        <v>1</v>
      </c>
      <c r="Q57" s="47">
        <v>0</v>
      </c>
      <c r="R57" s="47">
        <v>201</v>
      </c>
      <c r="S57" s="47"/>
      <c r="T57" s="47"/>
      <c r="U57" s="47"/>
      <c r="V57" s="47"/>
      <c r="W57" s="47"/>
      <c r="X57" s="47"/>
      <c r="Y57" s="47"/>
      <c r="Z57" s="47"/>
      <c r="AA57" s="47"/>
      <c r="AB57" s="34"/>
      <c r="AC57" s="47" t="s">
        <v>756</v>
      </c>
      <c r="AD57" s="47"/>
      <c r="AE57" s="47"/>
      <c r="AF57" s="47" t="s">
        <v>757</v>
      </c>
      <c r="AG57" s="47"/>
      <c r="AH57" s="47">
        <v>2</v>
      </c>
      <c r="AI57" s="47" t="s">
        <v>757</v>
      </c>
      <c r="AJ57" s="34"/>
    </row>
    <row r="58" s="23" customFormat="1" spans="1:36">
      <c r="A58" s="39">
        <v>30361</v>
      </c>
      <c r="B58" s="39">
        <v>36</v>
      </c>
      <c r="C58" s="33" t="str">
        <f>_xlfn.XLOOKUP(VALUE(LEFT(A58,4)),[1]统帅!A:A,[1]统帅!D:D,9999)</f>
        <v>秦广王</v>
      </c>
      <c r="D58" s="33" t="s">
        <v>758</v>
      </c>
      <c r="E58" s="33" t="s">
        <v>512</v>
      </c>
      <c r="F58" s="39">
        <v>4</v>
      </c>
      <c r="G58" s="39">
        <v>21</v>
      </c>
      <c r="H58" s="39" t="s">
        <v>759</v>
      </c>
      <c r="I58" s="39" t="s">
        <v>760</v>
      </c>
      <c r="J58" s="39"/>
      <c r="K58" s="39"/>
      <c r="L58" s="39" t="s">
        <v>761</v>
      </c>
      <c r="M58" s="39" t="str">
        <f t="shared" si="1"/>
        <v>masterskill_3036</v>
      </c>
      <c r="N58" s="39" t="s">
        <v>762</v>
      </c>
      <c r="O58" s="39">
        <v>3036</v>
      </c>
      <c r="P58" s="33">
        <v>1</v>
      </c>
      <c r="Q58" s="39">
        <v>0</v>
      </c>
      <c r="R58" s="39">
        <v>201</v>
      </c>
      <c r="S58" s="39"/>
      <c r="T58" s="39"/>
      <c r="U58" s="39"/>
      <c r="V58" s="39"/>
      <c r="W58" s="39"/>
      <c r="X58" s="39"/>
      <c r="Y58" s="39">
        <v>1</v>
      </c>
      <c r="Z58" s="39">
        <v>5</v>
      </c>
      <c r="AA58" s="39"/>
      <c r="AB58" s="33"/>
      <c r="AC58" s="39" t="s">
        <v>763</v>
      </c>
      <c r="AD58" s="39"/>
      <c r="AE58" s="39"/>
      <c r="AF58" s="39" t="s">
        <v>520</v>
      </c>
      <c r="AG58" s="39" t="s">
        <v>550</v>
      </c>
      <c r="AH58" s="39" t="s">
        <v>764</v>
      </c>
      <c r="AI58" s="39" t="s">
        <v>765</v>
      </c>
      <c r="AJ58" s="39">
        <v>30361</v>
      </c>
    </row>
    <row r="59" s="25" customFormat="1" spans="1:36">
      <c r="A59" s="39">
        <v>30362</v>
      </c>
      <c r="B59" s="39">
        <v>36</v>
      </c>
      <c r="C59" s="33" t="str">
        <f>_xlfn.XLOOKUP(VALUE(LEFT(A59,4)),[1]统帅!A:A,[1]统帅!D:D,9999)</f>
        <v>秦广王</v>
      </c>
      <c r="D59" s="33" t="s">
        <v>758</v>
      </c>
      <c r="E59" s="33" t="s">
        <v>512</v>
      </c>
      <c r="F59" s="39">
        <v>4</v>
      </c>
      <c r="G59" s="39">
        <v>21</v>
      </c>
      <c r="H59" s="39" t="s">
        <v>766</v>
      </c>
      <c r="I59" s="39" t="s">
        <v>760</v>
      </c>
      <c r="J59" s="39"/>
      <c r="K59" s="39"/>
      <c r="L59" s="39" t="s">
        <v>761</v>
      </c>
      <c r="M59" s="39" t="str">
        <f t="shared" si="1"/>
        <v>masterskill_3036</v>
      </c>
      <c r="N59" s="39" t="s">
        <v>762</v>
      </c>
      <c r="O59" s="39">
        <v>3036</v>
      </c>
      <c r="P59" s="33">
        <v>1</v>
      </c>
      <c r="Q59" s="39">
        <v>1</v>
      </c>
      <c r="R59" s="39">
        <v>201</v>
      </c>
      <c r="S59" s="39"/>
      <c r="T59" s="39"/>
      <c r="U59" s="39"/>
      <c r="V59" s="39"/>
      <c r="W59" s="39"/>
      <c r="X59" s="39"/>
      <c r="Y59" s="39"/>
      <c r="Z59" s="39"/>
      <c r="AA59" s="39"/>
      <c r="AB59" s="33"/>
      <c r="AC59" s="39" t="s">
        <v>763</v>
      </c>
      <c r="AD59" s="39"/>
      <c r="AE59" s="39"/>
      <c r="AF59" s="39" t="s">
        <v>520</v>
      </c>
      <c r="AG59" s="39" t="s">
        <v>550</v>
      </c>
      <c r="AH59" s="39" t="s">
        <v>764</v>
      </c>
      <c r="AI59" s="39" t="s">
        <v>765</v>
      </c>
      <c r="AJ59" s="39">
        <v>30361</v>
      </c>
    </row>
    <row r="60" s="24" customFormat="1" spans="1:36">
      <c r="A60" s="47">
        <v>30371</v>
      </c>
      <c r="B60" s="47">
        <v>37</v>
      </c>
      <c r="C60" s="34" t="str">
        <f>_xlfn.XLOOKUP(VALUE(LEFT(A60,4)),[1]统帅!A:A,[1]统帅!D:D,9999)</f>
        <v>骊山圣女</v>
      </c>
      <c r="D60" s="34" t="s">
        <v>767</v>
      </c>
      <c r="E60" s="34" t="s">
        <v>512</v>
      </c>
      <c r="F60" s="47">
        <v>3</v>
      </c>
      <c r="G60" s="47">
        <v>6</v>
      </c>
      <c r="H60" s="47" t="s">
        <v>768</v>
      </c>
      <c r="I60" s="47" t="s">
        <v>768</v>
      </c>
      <c r="J60" s="47" t="s">
        <v>768</v>
      </c>
      <c r="K60" s="39"/>
      <c r="L60" s="47"/>
      <c r="M60" s="39" t="str">
        <f t="shared" si="1"/>
        <v/>
      </c>
      <c r="N60" s="47" t="s">
        <v>569</v>
      </c>
      <c r="O60" s="47">
        <v>3037</v>
      </c>
      <c r="P60" s="34">
        <v>1</v>
      </c>
      <c r="Q60" s="47">
        <v>0</v>
      </c>
      <c r="R60" s="47">
        <v>201</v>
      </c>
      <c r="S60" s="47"/>
      <c r="T60" s="47"/>
      <c r="U60" s="47"/>
      <c r="V60" s="47"/>
      <c r="W60" s="47"/>
      <c r="X60" s="47"/>
      <c r="Y60" s="47"/>
      <c r="Z60" s="47"/>
      <c r="AA60" s="47"/>
      <c r="AB60" s="34"/>
      <c r="AC60" s="47" t="s">
        <v>769</v>
      </c>
      <c r="AD60" s="47"/>
      <c r="AE60" s="47"/>
      <c r="AF60" s="47" t="s">
        <v>520</v>
      </c>
      <c r="AG60" s="47"/>
      <c r="AH60" s="47" t="s">
        <v>521</v>
      </c>
      <c r="AI60" s="47" t="s">
        <v>520</v>
      </c>
      <c r="AJ60" s="34"/>
    </row>
    <row r="61" s="23" customFormat="1" spans="1:36">
      <c r="A61" s="39">
        <v>30381</v>
      </c>
      <c r="B61" s="39">
        <v>38</v>
      </c>
      <c r="C61" s="33" t="str">
        <f>_xlfn.XLOOKUP(VALUE(LEFT(A61,4)),[1]统帅!A:A,[1]统帅!D:D,9999)</f>
        <v>白衣哪吒</v>
      </c>
      <c r="D61" s="33" t="s">
        <v>770</v>
      </c>
      <c r="E61" s="33" t="s">
        <v>527</v>
      </c>
      <c r="F61" s="39"/>
      <c r="G61" s="39"/>
      <c r="H61" s="39" t="s">
        <v>771</v>
      </c>
      <c r="I61" s="39" t="s">
        <v>772</v>
      </c>
      <c r="J61" s="39" t="s">
        <v>771</v>
      </c>
      <c r="K61" s="39">
        <v>1</v>
      </c>
      <c r="L61" s="39" t="s">
        <v>773</v>
      </c>
      <c r="M61" s="39" t="str">
        <f t="shared" si="1"/>
        <v>1masterskill_3038</v>
      </c>
      <c r="N61" s="39" t="s">
        <v>774</v>
      </c>
      <c r="O61" s="39">
        <v>3038</v>
      </c>
      <c r="P61" s="33">
        <v>0</v>
      </c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>
        <v>9</v>
      </c>
      <c r="AC61" s="39" t="s">
        <v>775</v>
      </c>
      <c r="AD61" s="39"/>
      <c r="AE61" s="39"/>
      <c r="AF61" s="39" t="s">
        <v>776</v>
      </c>
      <c r="AG61" s="39"/>
      <c r="AH61" s="39">
        <v>0</v>
      </c>
      <c r="AI61" s="39" t="s">
        <v>777</v>
      </c>
      <c r="AJ61" s="33"/>
    </row>
    <row r="62" s="24" customFormat="1" spans="1:36">
      <c r="A62" s="47">
        <v>30391</v>
      </c>
      <c r="B62" s="47">
        <v>39</v>
      </c>
      <c r="C62" s="34" t="str">
        <f>_xlfn.XLOOKUP(VALUE(LEFT(A62,4)),[1]统帅!A:A,[1]统帅!D:D,9999)</f>
        <v>灵吉菩萨</v>
      </c>
      <c r="D62" s="34" t="s">
        <v>778</v>
      </c>
      <c r="E62" s="34" t="s">
        <v>527</v>
      </c>
      <c r="F62" s="47"/>
      <c r="G62" s="47"/>
      <c r="H62" s="47" t="s">
        <v>779</v>
      </c>
      <c r="I62" s="47" t="s">
        <v>779</v>
      </c>
      <c r="J62" s="47"/>
      <c r="K62" s="39"/>
      <c r="L62" s="47"/>
      <c r="M62" s="39" t="str">
        <f t="shared" si="1"/>
        <v/>
      </c>
      <c r="N62" s="47" t="s">
        <v>549</v>
      </c>
      <c r="O62" s="47">
        <v>3039</v>
      </c>
      <c r="P62" s="34">
        <v>0</v>
      </c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>
        <v>7</v>
      </c>
      <c r="AC62" s="47" t="s">
        <v>780</v>
      </c>
      <c r="AD62" s="47"/>
      <c r="AE62" s="47"/>
      <c r="AF62" s="47" t="s">
        <v>781</v>
      </c>
      <c r="AG62" s="47"/>
      <c r="AH62" s="47">
        <v>0</v>
      </c>
      <c r="AI62" s="47" t="s">
        <v>781</v>
      </c>
      <c r="AJ62" s="34"/>
    </row>
    <row r="63" s="24" customFormat="1" spans="1:36">
      <c r="A63" s="47">
        <v>30392</v>
      </c>
      <c r="B63" s="47">
        <v>39</v>
      </c>
      <c r="C63" s="34" t="str">
        <f>_xlfn.XLOOKUP(VALUE(LEFT(A63,4)),[1]统帅!A:A,[1]统帅!D:D,9999)</f>
        <v>灵吉菩萨</v>
      </c>
      <c r="D63" s="34" t="s">
        <v>778</v>
      </c>
      <c r="E63" s="34" t="s">
        <v>527</v>
      </c>
      <c r="F63" s="47"/>
      <c r="G63" s="47"/>
      <c r="H63" s="47" t="s">
        <v>782</v>
      </c>
      <c r="I63" s="47" t="s">
        <v>782</v>
      </c>
      <c r="J63" s="47"/>
      <c r="K63" s="39"/>
      <c r="L63" s="47"/>
      <c r="M63" s="39" t="str">
        <f t="shared" si="1"/>
        <v/>
      </c>
      <c r="N63" s="47" t="s">
        <v>549</v>
      </c>
      <c r="O63" s="47">
        <v>3039</v>
      </c>
      <c r="P63" s="34">
        <v>0</v>
      </c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>
        <v>7</v>
      </c>
      <c r="AC63" s="47" t="s">
        <v>783</v>
      </c>
      <c r="AD63" s="47"/>
      <c r="AE63" s="47"/>
      <c r="AF63" s="47" t="s">
        <v>781</v>
      </c>
      <c r="AG63" s="47"/>
      <c r="AH63" s="47">
        <v>0</v>
      </c>
      <c r="AI63" s="47" t="s">
        <v>781</v>
      </c>
      <c r="AJ63" s="34"/>
    </row>
    <row r="64" s="24" customFormat="1" spans="1:36">
      <c r="A64" s="47">
        <v>30393</v>
      </c>
      <c r="B64" s="47">
        <v>39</v>
      </c>
      <c r="C64" s="34" t="str">
        <f>_xlfn.XLOOKUP(VALUE(LEFT(A64,4)),[1]统帅!A:A,[1]统帅!D:D,9999)</f>
        <v>灵吉菩萨</v>
      </c>
      <c r="D64" s="34" t="s">
        <v>778</v>
      </c>
      <c r="E64" s="34" t="s">
        <v>527</v>
      </c>
      <c r="F64" s="47"/>
      <c r="G64" s="47"/>
      <c r="H64" s="47" t="s">
        <v>784</v>
      </c>
      <c r="I64" s="47" t="s">
        <v>784</v>
      </c>
      <c r="J64" s="47"/>
      <c r="K64" s="39"/>
      <c r="L64" s="47"/>
      <c r="M64" s="39" t="str">
        <f t="shared" si="1"/>
        <v/>
      </c>
      <c r="N64" s="47" t="s">
        <v>549</v>
      </c>
      <c r="O64" s="47">
        <v>3039</v>
      </c>
      <c r="P64" s="34">
        <v>0</v>
      </c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>
        <v>7</v>
      </c>
      <c r="AC64" s="47" t="s">
        <v>785</v>
      </c>
      <c r="AD64" s="47"/>
      <c r="AE64" s="47"/>
      <c r="AF64" s="47" t="s">
        <v>781</v>
      </c>
      <c r="AG64" s="47"/>
      <c r="AH64" s="47">
        <v>0</v>
      </c>
      <c r="AI64" s="47" t="s">
        <v>781</v>
      </c>
      <c r="AJ64" s="34"/>
    </row>
    <row r="65" s="24" customFormat="1" spans="1:37">
      <c r="A65" s="47">
        <v>30394</v>
      </c>
      <c r="B65" s="47">
        <v>39</v>
      </c>
      <c r="C65" s="34" t="str">
        <f>_xlfn.XLOOKUP(VALUE(LEFT(A65,4)),[1]统帅!A:A,[1]统帅!D:D,9999)</f>
        <v>灵吉菩萨</v>
      </c>
      <c r="D65" s="34" t="s">
        <v>778</v>
      </c>
      <c r="E65" s="34" t="s">
        <v>527</v>
      </c>
      <c r="F65" s="47"/>
      <c r="G65" s="47"/>
      <c r="H65" s="47" t="s">
        <v>786</v>
      </c>
      <c r="I65" s="47" t="s">
        <v>786</v>
      </c>
      <c r="J65" s="47"/>
      <c r="K65" s="39"/>
      <c r="L65" s="47"/>
      <c r="M65" s="39" t="str">
        <f t="shared" si="1"/>
        <v/>
      </c>
      <c r="N65" s="47" t="s">
        <v>549</v>
      </c>
      <c r="O65" s="47">
        <v>3039</v>
      </c>
      <c r="P65" s="34">
        <v>0</v>
      </c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>
        <v>7</v>
      </c>
      <c r="AC65" s="47" t="s">
        <v>787</v>
      </c>
      <c r="AD65" s="47"/>
      <c r="AE65" s="47"/>
      <c r="AF65" s="47" t="s">
        <v>781</v>
      </c>
      <c r="AG65" s="47"/>
      <c r="AH65" s="47">
        <v>0</v>
      </c>
      <c r="AI65" s="47" t="s">
        <v>781</v>
      </c>
      <c r="AJ65" s="34"/>
    </row>
    <row r="66" s="24" customFormat="1" spans="1:37">
      <c r="A66" s="47">
        <v>30395</v>
      </c>
      <c r="B66" s="47">
        <v>39</v>
      </c>
      <c r="C66" s="34" t="str">
        <f>_xlfn.XLOOKUP(VALUE(LEFT(A66,4)),[1]统帅!A:A,[1]统帅!D:D,9999)</f>
        <v>灵吉菩萨</v>
      </c>
      <c r="D66" s="34" t="s">
        <v>778</v>
      </c>
      <c r="E66" s="34" t="s">
        <v>527</v>
      </c>
      <c r="F66" s="47"/>
      <c r="G66" s="47"/>
      <c r="H66" s="47" t="s">
        <v>788</v>
      </c>
      <c r="I66" s="47" t="s">
        <v>788</v>
      </c>
      <c r="J66" s="47"/>
      <c r="K66" s="39"/>
      <c r="L66" s="47"/>
      <c r="M66" s="39" t="str">
        <f t="shared" si="1"/>
        <v/>
      </c>
      <c r="N66" s="47" t="s">
        <v>549</v>
      </c>
      <c r="O66" s="47">
        <v>3039</v>
      </c>
      <c r="P66" s="34">
        <v>0</v>
      </c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>
        <v>7</v>
      </c>
      <c r="AC66" s="47" t="s">
        <v>789</v>
      </c>
      <c r="AD66" s="47"/>
      <c r="AE66" s="47"/>
      <c r="AF66" s="47" t="s">
        <v>781</v>
      </c>
      <c r="AG66" s="47"/>
      <c r="AH66" s="47">
        <v>0</v>
      </c>
      <c r="AI66" s="47" t="s">
        <v>781</v>
      </c>
      <c r="AJ66" s="34"/>
    </row>
    <row r="67" s="24" customFormat="1" spans="1:37">
      <c r="A67" s="47">
        <v>30396</v>
      </c>
      <c r="B67" s="47">
        <v>39</v>
      </c>
      <c r="C67" s="34" t="str">
        <f>_xlfn.XLOOKUP(VALUE(LEFT(A67,4)),[1]统帅!A:A,[1]统帅!D:D,9999)</f>
        <v>灵吉菩萨</v>
      </c>
      <c r="D67" s="34" t="s">
        <v>778</v>
      </c>
      <c r="E67" s="34" t="s">
        <v>527</v>
      </c>
      <c r="F67" s="47"/>
      <c r="G67" s="47"/>
      <c r="H67" s="47" t="s">
        <v>790</v>
      </c>
      <c r="I67" s="47" t="s">
        <v>790</v>
      </c>
      <c r="J67" s="47"/>
      <c r="K67" s="39"/>
      <c r="L67" s="47"/>
      <c r="M67" s="39" t="str">
        <f t="shared" si="1"/>
        <v/>
      </c>
      <c r="N67" s="47" t="s">
        <v>549</v>
      </c>
      <c r="O67" s="47">
        <v>3039</v>
      </c>
      <c r="P67" s="34">
        <v>0</v>
      </c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>
        <v>7</v>
      </c>
      <c r="AC67" s="47" t="s">
        <v>791</v>
      </c>
      <c r="AD67" s="47"/>
      <c r="AE67" s="47"/>
      <c r="AF67" s="47" t="s">
        <v>781</v>
      </c>
      <c r="AG67" s="47"/>
      <c r="AH67" s="47">
        <v>0</v>
      </c>
      <c r="AI67" s="47" t="s">
        <v>781</v>
      </c>
      <c r="AJ67" s="34"/>
    </row>
    <row r="68" s="33" customFormat="1" spans="1:37">
      <c r="A68" s="33" t="s">
        <v>792</v>
      </c>
      <c r="B68" s="33" t="s">
        <v>793</v>
      </c>
      <c r="C68" s="39" t="s">
        <v>221</v>
      </c>
      <c r="D68" s="33" t="s">
        <v>794</v>
      </c>
      <c r="E68" s="33" t="s">
        <v>527</v>
      </c>
      <c r="F68" s="39"/>
      <c r="G68" s="39"/>
      <c r="H68" s="39" t="s">
        <v>795</v>
      </c>
      <c r="I68" s="39" t="s">
        <v>795</v>
      </c>
      <c r="J68" s="39"/>
      <c r="K68" s="39"/>
      <c r="L68" s="39" t="s">
        <v>796</v>
      </c>
      <c r="M68" s="39" t="str">
        <f t="shared" si="1"/>
        <v>masterskill_3040</v>
      </c>
      <c r="N68" s="39" t="s">
        <v>797</v>
      </c>
      <c r="O68" s="39">
        <v>3040</v>
      </c>
      <c r="P68" s="33" t="s">
        <v>558</v>
      </c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>
        <v>1</v>
      </c>
      <c r="AC68" s="33" t="s">
        <v>792</v>
      </c>
      <c r="AD68" s="39" t="s">
        <v>14</v>
      </c>
      <c r="AE68" s="39"/>
      <c r="AF68" s="39"/>
      <c r="AG68" s="39"/>
      <c r="AH68" s="39"/>
      <c r="AI68" s="39"/>
      <c r="AJ68" s="33" t="s">
        <v>792</v>
      </c>
      <c r="AK68" s="58"/>
    </row>
    <row r="69" s="34" customFormat="1" spans="1:37">
      <c r="A69" s="34" t="s">
        <v>798</v>
      </c>
      <c r="B69" s="34" t="s">
        <v>799</v>
      </c>
      <c r="C69" s="47" t="s">
        <v>221</v>
      </c>
      <c r="D69" s="34" t="s">
        <v>794</v>
      </c>
      <c r="E69" s="34" t="s">
        <v>527</v>
      </c>
      <c r="F69" s="47"/>
      <c r="G69" s="47"/>
      <c r="H69" s="47" t="s">
        <v>800</v>
      </c>
      <c r="I69" s="47" t="s">
        <v>800</v>
      </c>
      <c r="J69" s="47"/>
      <c r="K69" s="39"/>
      <c r="L69" s="47" t="s">
        <v>796</v>
      </c>
      <c r="M69" s="47" t="str">
        <f t="shared" si="1"/>
        <v>masterskill_3040</v>
      </c>
      <c r="N69" s="47" t="s">
        <v>797</v>
      </c>
      <c r="O69" s="47">
        <v>3040</v>
      </c>
      <c r="P69" s="34" t="s">
        <v>558</v>
      </c>
      <c r="Q69" s="47"/>
      <c r="R69" s="47"/>
      <c r="S69" s="47"/>
      <c r="T69" s="47"/>
      <c r="U69" s="47">
        <v>4</v>
      </c>
      <c r="V69" s="47"/>
      <c r="W69" s="47"/>
      <c r="X69" s="47"/>
      <c r="Y69" s="47">
        <v>2</v>
      </c>
      <c r="Z69" s="47">
        <v>6</v>
      </c>
      <c r="AA69" s="47"/>
      <c r="AB69" s="47">
        <v>11</v>
      </c>
      <c r="AC69" s="47" t="s">
        <v>801</v>
      </c>
      <c r="AD69" s="47" t="s">
        <v>802</v>
      </c>
      <c r="AE69" s="47"/>
      <c r="AF69" s="47"/>
      <c r="AG69" s="47"/>
      <c r="AH69" s="47"/>
      <c r="AI69" s="47"/>
      <c r="AJ69" s="34" t="s">
        <v>792</v>
      </c>
      <c r="AK69" s="59"/>
    </row>
    <row r="70" s="34" customFormat="1" spans="1:37">
      <c r="A70" s="34" t="s">
        <v>803</v>
      </c>
      <c r="B70" s="34" t="s">
        <v>799</v>
      </c>
      <c r="C70" s="47" t="s">
        <v>221</v>
      </c>
      <c r="D70" s="34" t="s">
        <v>794</v>
      </c>
      <c r="E70" s="34" t="s">
        <v>527</v>
      </c>
      <c r="F70" s="47"/>
      <c r="G70" s="47"/>
      <c r="H70" s="47" t="s">
        <v>804</v>
      </c>
      <c r="I70" s="47" t="s">
        <v>804</v>
      </c>
      <c r="J70" s="47"/>
      <c r="K70" s="39"/>
      <c r="L70" s="47" t="s">
        <v>796</v>
      </c>
      <c r="M70" s="47" t="str">
        <f t="shared" si="1"/>
        <v>masterskill_3040</v>
      </c>
      <c r="N70" s="47" t="s">
        <v>797</v>
      </c>
      <c r="O70" s="47">
        <v>3040</v>
      </c>
      <c r="P70" s="34" t="s">
        <v>558</v>
      </c>
      <c r="Q70" s="47"/>
      <c r="R70" s="47"/>
      <c r="S70" s="47"/>
      <c r="T70" s="47"/>
      <c r="U70" s="47">
        <v>6</v>
      </c>
      <c r="V70" s="47"/>
      <c r="W70" s="47"/>
      <c r="X70" s="47"/>
      <c r="Y70" s="47"/>
      <c r="Z70" s="47"/>
      <c r="AA70" s="47"/>
      <c r="AB70" s="47">
        <v>11</v>
      </c>
      <c r="AC70" s="47" t="s">
        <v>805</v>
      </c>
      <c r="AD70" s="47" t="s">
        <v>802</v>
      </c>
      <c r="AE70" s="47"/>
      <c r="AF70" s="47"/>
      <c r="AG70" s="47"/>
      <c r="AH70" s="47"/>
      <c r="AI70" s="47"/>
      <c r="AJ70" s="34" t="s">
        <v>792</v>
      </c>
      <c r="AK70" s="59"/>
    </row>
    <row r="71" s="33" customFormat="1" spans="1:37">
      <c r="A71" s="33" t="s">
        <v>806</v>
      </c>
      <c r="B71" s="33" t="s">
        <v>807</v>
      </c>
      <c r="C71" s="39" t="s">
        <v>133</v>
      </c>
      <c r="D71" s="33" t="s">
        <v>613</v>
      </c>
      <c r="E71" s="33" t="s">
        <v>527</v>
      </c>
      <c r="F71" s="39"/>
      <c r="G71" s="39"/>
      <c r="H71" s="39" t="s">
        <v>808</v>
      </c>
      <c r="I71" s="39" t="s">
        <v>809</v>
      </c>
      <c r="J71" s="39"/>
      <c r="K71" s="39"/>
      <c r="L71" s="39" t="s">
        <v>810</v>
      </c>
      <c r="M71" s="39" t="str">
        <f t="shared" si="1"/>
        <v>masterskill_3041</v>
      </c>
      <c r="N71" s="39" t="s">
        <v>811</v>
      </c>
      <c r="O71" s="39">
        <v>3041</v>
      </c>
      <c r="P71" s="33" t="s">
        <v>558</v>
      </c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 t="s">
        <v>812</v>
      </c>
      <c r="AD71" s="39" t="s">
        <v>813</v>
      </c>
      <c r="AE71" s="39"/>
      <c r="AF71" s="39" t="s">
        <v>814</v>
      </c>
      <c r="AG71" s="39"/>
      <c r="AH71" s="39" t="s">
        <v>815</v>
      </c>
      <c r="AI71" s="39" t="s">
        <v>816</v>
      </c>
      <c r="AJ71" s="33" t="s">
        <v>806</v>
      </c>
      <c r="AK71" s="58"/>
    </row>
    <row r="72" s="35" customFormat="1" spans="1:37">
      <c r="A72" s="35" t="s">
        <v>817</v>
      </c>
      <c r="B72" s="35" t="s">
        <v>818</v>
      </c>
      <c r="C72" s="52" t="s">
        <v>228</v>
      </c>
      <c r="D72" s="35" t="s">
        <v>819</v>
      </c>
      <c r="E72" s="35" t="s">
        <v>527</v>
      </c>
      <c r="F72" s="52"/>
      <c r="G72" s="52"/>
      <c r="H72" s="52" t="s">
        <v>820</v>
      </c>
      <c r="I72" s="52" t="s">
        <v>820</v>
      </c>
      <c r="J72" s="52"/>
      <c r="K72" s="39"/>
      <c r="L72" s="52" t="s">
        <v>821</v>
      </c>
      <c r="M72" s="52" t="s">
        <v>822</v>
      </c>
      <c r="N72" s="52" t="s">
        <v>823</v>
      </c>
      <c r="O72" s="52">
        <v>3042</v>
      </c>
      <c r="P72" s="35" t="s">
        <v>558</v>
      </c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>
        <v>12</v>
      </c>
      <c r="AC72" s="52" t="s">
        <v>824</v>
      </c>
      <c r="AD72" s="52" t="s">
        <v>825</v>
      </c>
      <c r="AE72" s="52"/>
      <c r="AF72" s="52"/>
      <c r="AG72" s="52"/>
      <c r="AH72" s="52"/>
      <c r="AI72" s="52"/>
      <c r="AJ72" s="35" t="s">
        <v>817</v>
      </c>
      <c r="AK72" s="60"/>
    </row>
    <row r="73" s="36" customFormat="1" spans="1:37">
      <c r="A73" s="36" t="s">
        <v>826</v>
      </c>
      <c r="B73" s="36" t="s">
        <v>827</v>
      </c>
      <c r="C73" s="36" t="s">
        <v>114</v>
      </c>
      <c r="D73" s="36" t="s">
        <v>828</v>
      </c>
      <c r="E73" s="36" t="s">
        <v>527</v>
      </c>
      <c r="F73" s="53"/>
      <c r="G73" s="53"/>
      <c r="H73" s="53" t="s">
        <v>829</v>
      </c>
      <c r="I73" s="53" t="s">
        <v>829</v>
      </c>
      <c r="J73" s="53"/>
      <c r="K73" s="53"/>
      <c r="L73" s="53" t="s">
        <v>830</v>
      </c>
      <c r="M73" s="53" t="s">
        <v>575</v>
      </c>
      <c r="N73" s="53" t="s">
        <v>831</v>
      </c>
      <c r="O73" s="53">
        <v>3008</v>
      </c>
      <c r="P73" s="36" t="s">
        <v>558</v>
      </c>
      <c r="Q73" s="53"/>
      <c r="R73" s="53"/>
      <c r="S73" s="53"/>
      <c r="T73" s="53"/>
      <c r="U73" s="53"/>
      <c r="V73" s="53"/>
      <c r="W73" s="53">
        <v>1</v>
      </c>
      <c r="X73" s="53"/>
      <c r="Y73" s="53"/>
      <c r="Z73" s="53"/>
      <c r="AA73" s="53"/>
      <c r="AB73" s="53">
        <v>13</v>
      </c>
      <c r="AC73" s="53" t="s">
        <v>832</v>
      </c>
      <c r="AD73" s="53" t="s">
        <v>833</v>
      </c>
      <c r="AE73" s="53"/>
      <c r="AF73" s="53"/>
      <c r="AG73" s="53"/>
      <c r="AH73" s="53"/>
      <c r="AI73" s="53"/>
      <c r="AK73" s="61"/>
    </row>
    <row r="74" s="33" customFormat="1" spans="1:37">
      <c r="A74" s="33" t="s">
        <v>834</v>
      </c>
      <c r="B74" s="33" t="s">
        <v>835</v>
      </c>
      <c r="C74" s="33" t="s">
        <v>237</v>
      </c>
      <c r="D74" s="33" t="s">
        <v>836</v>
      </c>
      <c r="E74" s="33" t="s">
        <v>527</v>
      </c>
      <c r="F74" s="39"/>
      <c r="G74" s="39"/>
      <c r="H74" s="39" t="s">
        <v>837</v>
      </c>
      <c r="I74" s="39" t="s">
        <v>837</v>
      </c>
      <c r="J74" s="39"/>
      <c r="K74" s="39"/>
      <c r="L74" s="52" t="s">
        <v>838</v>
      </c>
      <c r="M74" s="52" t="s">
        <v>575</v>
      </c>
      <c r="N74" s="52" t="s">
        <v>839</v>
      </c>
      <c r="O74" s="39">
        <v>3044</v>
      </c>
      <c r="P74" s="33" t="s">
        <v>558</v>
      </c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>
        <v>8</v>
      </c>
      <c r="AC74" s="39">
        <v>2</v>
      </c>
      <c r="AD74" s="39" t="s">
        <v>840</v>
      </c>
      <c r="AE74" s="39"/>
      <c r="AF74" s="39"/>
      <c r="AG74" s="39"/>
      <c r="AH74" s="39"/>
      <c r="AI74" s="39"/>
      <c r="AJ74" s="33" t="s">
        <v>834</v>
      </c>
      <c r="AK74" s="58"/>
    </row>
    <row r="75" s="37" customFormat="1" spans="1:37">
      <c r="A75" s="37" t="s">
        <v>841</v>
      </c>
      <c r="B75" s="37" t="s">
        <v>842</v>
      </c>
      <c r="C75" s="37" t="s">
        <v>240</v>
      </c>
      <c r="D75" s="37" t="s">
        <v>843</v>
      </c>
      <c r="E75" s="37" t="s">
        <v>527</v>
      </c>
      <c r="F75" s="43"/>
      <c r="G75" s="43"/>
      <c r="H75" s="43" t="s">
        <v>844</v>
      </c>
      <c r="I75" s="43" t="s">
        <v>845</v>
      </c>
      <c r="J75" s="43" t="s">
        <v>844</v>
      </c>
      <c r="K75" s="39">
        <v>1</v>
      </c>
      <c r="L75" s="43" t="s">
        <v>838</v>
      </c>
      <c r="M75" s="43" t="s">
        <v>575</v>
      </c>
      <c r="N75" s="43" t="s">
        <v>846</v>
      </c>
      <c r="O75" s="43">
        <v>3044</v>
      </c>
      <c r="P75" s="37" t="s">
        <v>558</v>
      </c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>
        <v>8</v>
      </c>
      <c r="AC75" s="43" t="s">
        <v>847</v>
      </c>
      <c r="AD75" s="43" t="s">
        <v>848</v>
      </c>
      <c r="AE75" s="43"/>
      <c r="AF75" s="43"/>
      <c r="AG75" s="43"/>
      <c r="AH75" s="43" t="s">
        <v>521</v>
      </c>
      <c r="AI75" s="43"/>
      <c r="AK75" s="62"/>
    </row>
    <row r="76" s="36" customFormat="1" spans="1:37">
      <c r="A76" s="36">
        <v>30461</v>
      </c>
      <c r="B76" s="36" t="s">
        <v>849</v>
      </c>
      <c r="C76" s="36" t="s">
        <v>244</v>
      </c>
      <c r="D76" s="36" t="s">
        <v>850</v>
      </c>
      <c r="E76" s="36" t="s">
        <v>527</v>
      </c>
      <c r="F76" s="53"/>
      <c r="G76" s="53"/>
      <c r="H76" s="53" t="s">
        <v>851</v>
      </c>
      <c r="I76" s="53" t="s">
        <v>852</v>
      </c>
      <c r="J76" s="53" t="s">
        <v>853</v>
      </c>
      <c r="K76" s="53">
        <v>1</v>
      </c>
      <c r="L76" s="53" t="s">
        <v>838</v>
      </c>
      <c r="M76" s="53" t="s">
        <v>575</v>
      </c>
      <c r="N76" s="53" t="s">
        <v>854</v>
      </c>
      <c r="O76" s="53">
        <v>3044</v>
      </c>
      <c r="P76" s="36" t="s">
        <v>558</v>
      </c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>
        <v>14</v>
      </c>
      <c r="AC76" s="53" t="s">
        <v>855</v>
      </c>
      <c r="AD76" s="53" t="s">
        <v>856</v>
      </c>
      <c r="AE76" s="53"/>
      <c r="AF76" s="53"/>
      <c r="AG76" s="53"/>
      <c r="AH76" s="53" t="s">
        <v>586</v>
      </c>
      <c r="AI76" s="53"/>
      <c r="AK76" s="61"/>
    </row>
    <row r="77" s="37" customFormat="1" spans="1:37">
      <c r="A77" s="37">
        <v>30471</v>
      </c>
      <c r="B77" s="37" t="s">
        <v>857</v>
      </c>
      <c r="C77" s="37" t="s">
        <v>247</v>
      </c>
      <c r="D77" s="37" t="s">
        <v>858</v>
      </c>
      <c r="E77" s="37" t="s">
        <v>527</v>
      </c>
      <c r="F77" s="43"/>
      <c r="G77" s="43"/>
      <c r="H77" s="43" t="s">
        <v>859</v>
      </c>
      <c r="I77" s="43" t="s">
        <v>860</v>
      </c>
      <c r="J77" s="43"/>
      <c r="K77" s="39"/>
      <c r="L77" s="43" t="s">
        <v>838</v>
      </c>
      <c r="M77" s="43" t="s">
        <v>575</v>
      </c>
      <c r="N77" s="43" t="s">
        <v>861</v>
      </c>
      <c r="O77" s="43">
        <v>3044</v>
      </c>
      <c r="P77" s="37" t="s">
        <v>558</v>
      </c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>
        <v>2</v>
      </c>
      <c r="AC77" s="43">
        <v>1</v>
      </c>
      <c r="AD77" s="43" t="s">
        <v>862</v>
      </c>
      <c r="AE77" s="43"/>
      <c r="AF77" s="43"/>
      <c r="AG77" s="43"/>
      <c r="AH77" s="43">
        <v>1</v>
      </c>
      <c r="AI77" s="43"/>
      <c r="AK77" s="62"/>
    </row>
    <row r="78" s="37" customFormat="1" spans="1:37">
      <c r="A78" s="37">
        <v>30481</v>
      </c>
      <c r="B78" s="37" t="s">
        <v>863</v>
      </c>
      <c r="C78" s="37" t="s">
        <v>250</v>
      </c>
      <c r="D78" s="37" t="s">
        <v>864</v>
      </c>
      <c r="E78" s="37" t="s">
        <v>512</v>
      </c>
      <c r="F78" s="43"/>
      <c r="G78" s="43"/>
      <c r="H78" s="43" t="s">
        <v>865</v>
      </c>
      <c r="I78" s="43" t="s">
        <v>865</v>
      </c>
      <c r="J78" s="43"/>
      <c r="K78" s="39"/>
      <c r="L78" s="43" t="s">
        <v>838</v>
      </c>
      <c r="M78" s="43" t="s">
        <v>575</v>
      </c>
      <c r="N78" s="43" t="s">
        <v>866</v>
      </c>
      <c r="O78" s="43">
        <v>3044</v>
      </c>
      <c r="P78" s="37" t="s">
        <v>867</v>
      </c>
      <c r="Q78" s="43">
        <v>1</v>
      </c>
      <c r="R78" s="43"/>
      <c r="S78" s="43"/>
      <c r="T78" s="43"/>
      <c r="U78" s="43"/>
      <c r="V78" s="43">
        <v>3</v>
      </c>
      <c r="W78" s="43"/>
      <c r="X78" s="43"/>
      <c r="Y78" s="43"/>
      <c r="Z78" s="43"/>
      <c r="AA78" s="43"/>
      <c r="AB78" s="43"/>
      <c r="AC78" s="43">
        <v>1</v>
      </c>
      <c r="AD78" s="43" t="s">
        <v>868</v>
      </c>
      <c r="AE78" s="43"/>
      <c r="AF78" s="43"/>
      <c r="AG78" s="43"/>
      <c r="AH78" s="43"/>
      <c r="AI78" s="43"/>
      <c r="AK78" s="62"/>
    </row>
    <row r="79" s="37" customFormat="1" spans="1:37">
      <c r="A79" s="37">
        <v>30491</v>
      </c>
      <c r="B79" s="37" t="s">
        <v>869</v>
      </c>
      <c r="C79" s="37" t="s">
        <v>253</v>
      </c>
      <c r="D79" s="37" t="s">
        <v>870</v>
      </c>
      <c r="E79" s="37" t="s">
        <v>512</v>
      </c>
      <c r="F79" s="43"/>
      <c r="G79" s="43"/>
      <c r="H79" s="43" t="s">
        <v>871</v>
      </c>
      <c r="I79" s="43" t="s">
        <v>872</v>
      </c>
      <c r="J79" s="43"/>
      <c r="K79" s="39"/>
      <c r="L79" s="43" t="s">
        <v>838</v>
      </c>
      <c r="M79" s="43" t="s">
        <v>575</v>
      </c>
      <c r="N79" s="43" t="s">
        <v>873</v>
      </c>
      <c r="O79" s="43">
        <v>3044</v>
      </c>
      <c r="P79" s="37" t="s">
        <v>867</v>
      </c>
      <c r="Q79" s="43">
        <v>6</v>
      </c>
      <c r="R79" s="43"/>
      <c r="S79" s="43"/>
      <c r="T79" s="43"/>
      <c r="U79" s="43"/>
      <c r="V79" s="43"/>
      <c r="W79" s="43">
        <v>3</v>
      </c>
      <c r="X79" s="43"/>
      <c r="Y79" s="43"/>
      <c r="Z79" s="43"/>
      <c r="AA79" s="43"/>
      <c r="AB79" s="43"/>
      <c r="AC79" s="43"/>
      <c r="AD79" s="43" t="s">
        <v>874</v>
      </c>
      <c r="AE79" s="43"/>
      <c r="AF79" s="43"/>
      <c r="AG79" s="43"/>
      <c r="AH79" s="43">
        <v>0</v>
      </c>
      <c r="AI79" s="43"/>
      <c r="AK79" s="62"/>
    </row>
    <row r="80" s="37" customFormat="1" spans="1:37">
      <c r="A80" s="37">
        <v>30501</v>
      </c>
      <c r="B80" s="37" t="s">
        <v>875</v>
      </c>
      <c r="C80" s="37" t="s">
        <v>208</v>
      </c>
      <c r="D80" s="37" t="s">
        <v>876</v>
      </c>
      <c r="E80" s="37" t="s">
        <v>512</v>
      </c>
      <c r="F80" s="43"/>
      <c r="G80" s="43"/>
      <c r="H80" s="43" t="s">
        <v>877</v>
      </c>
      <c r="I80" s="43" t="s">
        <v>878</v>
      </c>
      <c r="J80" s="43" t="s">
        <v>879</v>
      </c>
      <c r="K80" s="39">
        <v>1</v>
      </c>
      <c r="L80" s="43" t="s">
        <v>838</v>
      </c>
      <c r="M80" s="43" t="s">
        <v>575</v>
      </c>
      <c r="N80" s="43" t="s">
        <v>880</v>
      </c>
      <c r="O80" s="43">
        <v>3044</v>
      </c>
      <c r="P80" s="37" t="s">
        <v>867</v>
      </c>
      <c r="Q80" s="43">
        <v>0</v>
      </c>
      <c r="R80" s="43">
        <v>201</v>
      </c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 t="s">
        <v>881</v>
      </c>
      <c r="AD80" s="43" t="s">
        <v>882</v>
      </c>
      <c r="AE80" s="43"/>
      <c r="AF80" s="43"/>
      <c r="AG80" s="43"/>
      <c r="AH80" s="43" t="s">
        <v>883</v>
      </c>
      <c r="AI80" s="43"/>
      <c r="AK80" s="62"/>
    </row>
    <row r="81" s="37" customFormat="1" spans="1:37">
      <c r="A81" s="37" t="s">
        <v>884</v>
      </c>
      <c r="B81" s="37" t="s">
        <v>885</v>
      </c>
      <c r="C81" s="37" t="s">
        <v>258</v>
      </c>
      <c r="D81" s="37" t="s">
        <v>886</v>
      </c>
      <c r="E81" s="37" t="s">
        <v>512</v>
      </c>
      <c r="F81" s="43"/>
      <c r="G81" s="43"/>
      <c r="H81" s="43" t="s">
        <v>887</v>
      </c>
      <c r="I81" s="43" t="s">
        <v>887</v>
      </c>
      <c r="J81" s="43"/>
      <c r="K81" s="39"/>
      <c r="L81" s="43" t="s">
        <v>838</v>
      </c>
      <c r="M81" s="43" t="s">
        <v>575</v>
      </c>
      <c r="N81" s="43" t="s">
        <v>888</v>
      </c>
      <c r="O81" s="43">
        <v>3044</v>
      </c>
      <c r="P81" s="37" t="s">
        <v>867</v>
      </c>
      <c r="Q81" s="43">
        <v>0</v>
      </c>
      <c r="R81" s="43">
        <v>201</v>
      </c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 t="s">
        <v>889</v>
      </c>
      <c r="AD81" s="43" t="s">
        <v>890</v>
      </c>
      <c r="AE81" s="43"/>
      <c r="AF81" s="43"/>
      <c r="AG81" s="43"/>
      <c r="AH81" s="43" t="s">
        <v>610</v>
      </c>
      <c r="AI81" s="43"/>
      <c r="AK81" s="62"/>
    </row>
    <row r="82" s="37" customFormat="1" spans="1:37">
      <c r="A82" s="63">
        <v>30521</v>
      </c>
      <c r="B82" s="37" t="s">
        <v>891</v>
      </c>
      <c r="C82" s="37" t="s">
        <v>261</v>
      </c>
      <c r="D82" s="37" t="s">
        <v>892</v>
      </c>
      <c r="E82" s="37" t="s">
        <v>527</v>
      </c>
      <c r="F82" s="43"/>
      <c r="G82" s="43"/>
      <c r="H82" s="43" t="s">
        <v>893</v>
      </c>
      <c r="I82" s="43" t="s">
        <v>893</v>
      </c>
      <c r="J82" s="43"/>
      <c r="K82" s="39"/>
      <c r="L82" s="43"/>
      <c r="M82" s="43"/>
      <c r="N82" s="43" t="s">
        <v>894</v>
      </c>
      <c r="O82" s="43">
        <v>3044</v>
      </c>
      <c r="P82" s="37" t="s">
        <v>558</v>
      </c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>
        <v>15</v>
      </c>
      <c r="AC82" s="43">
        <v>2</v>
      </c>
      <c r="AD82" s="43" t="s">
        <v>895</v>
      </c>
      <c r="AE82" s="43"/>
      <c r="AF82" s="43"/>
      <c r="AG82" s="43"/>
      <c r="AH82" s="43">
        <v>2</v>
      </c>
      <c r="AI82" s="43"/>
      <c r="AK82" s="62"/>
    </row>
    <row r="83" s="37" customFormat="1" spans="1:37">
      <c r="A83" s="63">
        <v>30531</v>
      </c>
      <c r="B83" s="37" t="s">
        <v>793</v>
      </c>
      <c r="C83" s="37" t="s">
        <v>265</v>
      </c>
      <c r="D83" s="37" t="s">
        <v>896</v>
      </c>
      <c r="E83" s="37" t="s">
        <v>527</v>
      </c>
      <c r="F83" s="43"/>
      <c r="G83" s="43"/>
      <c r="H83" s="43" t="s">
        <v>897</v>
      </c>
      <c r="I83" s="43" t="s">
        <v>897</v>
      </c>
      <c r="J83" s="43"/>
      <c r="K83" s="39"/>
      <c r="L83" s="43"/>
      <c r="M83" s="43"/>
      <c r="N83" s="43" t="s">
        <v>898</v>
      </c>
      <c r="O83" s="43">
        <v>3044</v>
      </c>
      <c r="P83" s="37" t="s">
        <v>558</v>
      </c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>
        <v>1</v>
      </c>
      <c r="AC83" s="43">
        <v>30005</v>
      </c>
      <c r="AD83" s="43"/>
      <c r="AE83" s="43"/>
      <c r="AF83" s="43"/>
      <c r="AG83" s="43"/>
      <c r="AH83" s="43"/>
      <c r="AI83" s="43"/>
      <c r="AK83" s="62"/>
    </row>
    <row r="84" s="37" customFormat="1" spans="1:37">
      <c r="A84" s="63">
        <v>30541</v>
      </c>
      <c r="B84" s="37" t="s">
        <v>899</v>
      </c>
      <c r="C84" s="37" t="s">
        <v>270</v>
      </c>
      <c r="D84" s="37" t="s">
        <v>900</v>
      </c>
      <c r="E84" s="37" t="s">
        <v>527</v>
      </c>
      <c r="F84" s="43"/>
      <c r="G84" s="43"/>
      <c r="H84" s="43" t="s">
        <v>901</v>
      </c>
      <c r="I84" s="43" t="s">
        <v>901</v>
      </c>
      <c r="J84" s="43"/>
      <c r="K84" s="39"/>
      <c r="L84" s="43"/>
      <c r="M84" s="43"/>
      <c r="N84" s="43" t="s">
        <v>902</v>
      </c>
      <c r="O84" s="43">
        <v>3044</v>
      </c>
      <c r="P84" s="37" t="s">
        <v>558</v>
      </c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K84" s="62"/>
    </row>
    <row r="85" s="37" customFormat="1" spans="1:37">
      <c r="A85" s="63">
        <v>30551</v>
      </c>
      <c r="B85" s="37" t="s">
        <v>903</v>
      </c>
      <c r="C85" s="37" t="s">
        <v>274</v>
      </c>
      <c r="D85" s="37" t="s">
        <v>904</v>
      </c>
      <c r="E85" s="37" t="s">
        <v>512</v>
      </c>
      <c r="F85" s="43"/>
      <c r="G85" s="43"/>
      <c r="H85" s="43" t="s">
        <v>905</v>
      </c>
      <c r="I85" s="43" t="s">
        <v>905</v>
      </c>
      <c r="J85" s="43"/>
      <c r="K85" s="39"/>
      <c r="L85" s="43"/>
      <c r="M85" s="43"/>
      <c r="N85" s="43" t="s">
        <v>906</v>
      </c>
      <c r="O85" s="43">
        <v>3044</v>
      </c>
      <c r="P85" s="37" t="s">
        <v>867</v>
      </c>
      <c r="Q85" s="43">
        <v>0</v>
      </c>
      <c r="R85" s="43"/>
      <c r="S85" s="43"/>
      <c r="T85" s="43"/>
      <c r="U85" s="43"/>
      <c r="V85" s="43"/>
      <c r="W85" s="43">
        <v>1</v>
      </c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K85" s="62"/>
    </row>
    <row r="86" s="37" customFormat="1" spans="1:37">
      <c r="A86" s="63">
        <v>30561</v>
      </c>
      <c r="B86" s="37" t="s">
        <v>907</v>
      </c>
      <c r="C86" s="37" t="s">
        <v>908</v>
      </c>
      <c r="D86" s="37" t="s">
        <v>909</v>
      </c>
      <c r="E86" s="37" t="s">
        <v>527</v>
      </c>
      <c r="F86" s="43"/>
      <c r="G86" s="43"/>
      <c r="H86" s="43" t="s">
        <v>910</v>
      </c>
      <c r="I86" s="43" t="s">
        <v>910</v>
      </c>
      <c r="J86" s="43"/>
      <c r="K86" s="39"/>
      <c r="L86" s="43"/>
      <c r="M86" s="43"/>
      <c r="N86" s="43" t="s">
        <v>911</v>
      </c>
      <c r="O86" s="43">
        <v>3044</v>
      </c>
      <c r="P86" s="37" t="s">
        <v>558</v>
      </c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 t="s">
        <v>912</v>
      </c>
      <c r="AD86" s="43" t="s">
        <v>913</v>
      </c>
      <c r="AE86" s="43"/>
      <c r="AF86" s="43"/>
      <c r="AG86" s="43"/>
      <c r="AH86" s="43"/>
      <c r="AI86" s="43"/>
      <c r="AK86" s="62"/>
    </row>
    <row r="87" s="38" customFormat="1" spans="1:37">
      <c r="A87" s="38" t="s">
        <v>914</v>
      </c>
      <c r="B87" s="38" t="s">
        <v>915</v>
      </c>
      <c r="C87" s="38" t="s">
        <v>281</v>
      </c>
      <c r="D87" s="38" t="s">
        <v>916</v>
      </c>
      <c r="E87" s="37" t="s">
        <v>512</v>
      </c>
      <c r="F87" s="64"/>
      <c r="G87" s="64"/>
      <c r="H87" s="64" t="s">
        <v>917</v>
      </c>
      <c r="I87" s="64" t="s">
        <v>917</v>
      </c>
      <c r="J87" s="64" t="s">
        <v>917</v>
      </c>
      <c r="K87" s="64"/>
      <c r="L87" s="64"/>
      <c r="M87" s="64"/>
      <c r="N87" s="64" t="s">
        <v>918</v>
      </c>
      <c r="O87" s="43">
        <v>3044</v>
      </c>
      <c r="P87" s="38" t="s">
        <v>867</v>
      </c>
      <c r="Q87" s="64">
        <v>1</v>
      </c>
      <c r="R87" s="64">
        <v>201</v>
      </c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>
        <v>0</v>
      </c>
      <c r="AD87" s="64" t="s">
        <v>919</v>
      </c>
      <c r="AE87" s="64"/>
      <c r="AF87" s="64"/>
      <c r="AG87" s="64"/>
      <c r="AH87" s="64"/>
      <c r="AI87" s="64"/>
      <c r="AK87" s="65"/>
    </row>
    <row r="88" s="36" customFormat="1" spans="1:37">
      <c r="A88" s="36" t="s">
        <v>920</v>
      </c>
      <c r="B88" s="36" t="s">
        <v>921</v>
      </c>
      <c r="C88" s="36" t="s">
        <v>244</v>
      </c>
      <c r="D88" s="36" t="s">
        <v>922</v>
      </c>
      <c r="E88" s="36" t="s">
        <v>512</v>
      </c>
      <c r="F88" s="53"/>
      <c r="G88" s="53"/>
      <c r="H88" s="53" t="s">
        <v>923</v>
      </c>
      <c r="I88" s="53" t="s">
        <v>924</v>
      </c>
      <c r="J88" s="53" t="s">
        <v>923</v>
      </c>
      <c r="K88" s="53"/>
      <c r="L88" s="53"/>
      <c r="M88" s="53"/>
      <c r="N88" s="53" t="s">
        <v>925</v>
      </c>
      <c r="O88" s="53">
        <v>3058</v>
      </c>
      <c r="P88" s="36" t="s">
        <v>867</v>
      </c>
      <c r="Q88" s="53"/>
      <c r="R88" s="53"/>
      <c r="S88" s="53">
        <v>9</v>
      </c>
      <c r="T88" s="53">
        <v>1</v>
      </c>
      <c r="V88" s="53"/>
      <c r="W88" s="53"/>
      <c r="X88" s="53"/>
      <c r="Y88" s="53"/>
      <c r="Z88" s="53"/>
      <c r="AA88" s="53" t="s">
        <v>926</v>
      </c>
      <c r="AB88" s="53"/>
      <c r="AC88" s="53" t="s">
        <v>927</v>
      </c>
      <c r="AD88" s="53" t="s">
        <v>928</v>
      </c>
      <c r="AE88" s="53"/>
      <c r="AF88" s="53" t="s">
        <v>929</v>
      </c>
      <c r="AG88" s="53" t="s">
        <v>930</v>
      </c>
      <c r="AH88" s="53" t="s">
        <v>639</v>
      </c>
      <c r="AI88" s="53"/>
      <c r="AK88" s="61"/>
    </row>
    <row r="89" spans="1:37">
      <c r="A89" s="49" t="s">
        <v>931</v>
      </c>
      <c r="B89" s="33" t="s">
        <v>932</v>
      </c>
      <c r="C89" s="33" t="s">
        <v>122</v>
      </c>
      <c r="D89" s="33" t="s">
        <v>933</v>
      </c>
      <c r="E89" s="33" t="s">
        <v>512</v>
      </c>
      <c r="H89" s="39" t="s">
        <v>934</v>
      </c>
      <c r="I89" s="39" t="s">
        <v>934</v>
      </c>
      <c r="N89" s="48" t="s">
        <v>925</v>
      </c>
      <c r="P89" s="33" t="s">
        <v>867</v>
      </c>
      <c r="Q89" s="39">
        <v>0</v>
      </c>
      <c r="S89" s="39">
        <v>9</v>
      </c>
      <c r="T89" s="39">
        <v>1</v>
      </c>
      <c r="AC89" s="39">
        <v>30583</v>
      </c>
      <c r="AD89" s="39" t="s">
        <v>14</v>
      </c>
    </row>
    <row r="90" s="38" customFormat="1" spans="1:37">
      <c r="A90" s="38" t="s">
        <v>935</v>
      </c>
      <c r="B90" s="38" t="s">
        <v>936</v>
      </c>
      <c r="C90" s="38" t="s">
        <v>287</v>
      </c>
      <c r="D90" s="38" t="s">
        <v>937</v>
      </c>
      <c r="E90" s="37" t="s">
        <v>527</v>
      </c>
      <c r="F90" s="64"/>
      <c r="G90" s="64"/>
      <c r="H90" s="64" t="s">
        <v>938</v>
      </c>
      <c r="I90" s="64" t="s">
        <v>938</v>
      </c>
      <c r="J90" s="64" t="s">
        <v>938</v>
      </c>
      <c r="K90" s="64"/>
      <c r="L90" s="64"/>
      <c r="M90" s="64"/>
      <c r="N90" s="64" t="s">
        <v>939</v>
      </c>
      <c r="O90" s="43">
        <v>3044</v>
      </c>
      <c r="P90" s="38" t="s">
        <v>558</v>
      </c>
      <c r="Q90" s="64"/>
      <c r="R90" s="64"/>
      <c r="S90" s="64"/>
      <c r="T90" s="64"/>
      <c r="U90" s="64">
        <v>3</v>
      </c>
      <c r="V90" s="64"/>
      <c r="W90" s="64"/>
      <c r="X90" s="64"/>
      <c r="Y90" s="64"/>
      <c r="Z90" s="64"/>
      <c r="AA90" s="64"/>
      <c r="AB90" s="64">
        <v>8</v>
      </c>
      <c r="AC90" s="64">
        <v>2</v>
      </c>
      <c r="AD90" s="64" t="s">
        <v>940</v>
      </c>
      <c r="AE90" s="64"/>
      <c r="AF90" s="64"/>
      <c r="AG90" s="64"/>
      <c r="AH90" s="64"/>
      <c r="AI90" s="64"/>
      <c r="AK90" s="65"/>
    </row>
    <row r="91" s="38" customFormat="1" spans="1:37">
      <c r="A91" s="38" t="s">
        <v>941</v>
      </c>
      <c r="B91" s="38" t="s">
        <v>942</v>
      </c>
      <c r="C91" s="38" t="s">
        <v>290</v>
      </c>
      <c r="D91" s="38" t="s">
        <v>943</v>
      </c>
      <c r="E91" s="37" t="s">
        <v>512</v>
      </c>
      <c r="F91" s="64"/>
      <c r="G91" s="64"/>
      <c r="H91" s="64" t="s">
        <v>944</v>
      </c>
      <c r="I91" s="64" t="s">
        <v>944</v>
      </c>
      <c r="J91" s="64" t="s">
        <v>944</v>
      </c>
      <c r="K91" s="64"/>
      <c r="L91" s="64"/>
      <c r="M91" s="64"/>
      <c r="N91" s="64" t="s">
        <v>945</v>
      </c>
      <c r="O91" s="43">
        <v>3044</v>
      </c>
      <c r="P91" s="38" t="s">
        <v>867</v>
      </c>
      <c r="Q91" s="64">
        <v>1</v>
      </c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K91" s="65"/>
    </row>
    <row r="92" s="33" customFormat="1" spans="1:37">
      <c r="A92" s="66">
        <v>30611</v>
      </c>
      <c r="B92" s="33" t="s">
        <v>946</v>
      </c>
      <c r="C92" s="66" t="s">
        <v>293</v>
      </c>
      <c r="D92" s="33" t="s">
        <v>947</v>
      </c>
      <c r="E92" s="37" t="s">
        <v>512</v>
      </c>
      <c r="F92" s="39"/>
      <c r="G92" s="39"/>
      <c r="H92" s="39" t="s">
        <v>948</v>
      </c>
      <c r="I92" s="39" t="s">
        <v>948</v>
      </c>
      <c r="J92" s="39"/>
      <c r="K92" s="39"/>
      <c r="L92" s="39"/>
      <c r="M92" s="39"/>
      <c r="N92" s="64" t="s">
        <v>949</v>
      </c>
      <c r="O92" s="43">
        <v>3044</v>
      </c>
      <c r="P92" s="33" t="s">
        <v>867</v>
      </c>
      <c r="Q92" s="39">
        <v>1</v>
      </c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 t="s">
        <v>950</v>
      </c>
      <c r="AD92" s="39" t="s">
        <v>951</v>
      </c>
      <c r="AE92" s="39"/>
      <c r="AF92" s="39"/>
      <c r="AG92" s="39"/>
      <c r="AH92" s="39"/>
      <c r="AI92" s="39"/>
      <c r="AK92" s="58"/>
    </row>
    <row r="93" s="33" customFormat="1" spans="1:37">
      <c r="A93" s="66">
        <v>30621</v>
      </c>
      <c r="B93" s="33" t="s">
        <v>952</v>
      </c>
      <c r="C93" s="66" t="s">
        <v>297</v>
      </c>
      <c r="D93" s="33" t="s">
        <v>953</v>
      </c>
      <c r="E93" s="37" t="s">
        <v>527</v>
      </c>
      <c r="F93" s="39"/>
      <c r="G93" s="39"/>
      <c r="H93" s="39" t="s">
        <v>954</v>
      </c>
      <c r="I93" s="39" t="s">
        <v>955</v>
      </c>
      <c r="J93" s="39"/>
      <c r="K93" s="39"/>
      <c r="L93" s="39"/>
      <c r="M93" s="39"/>
      <c r="N93" s="64" t="s">
        <v>956</v>
      </c>
      <c r="O93" s="43">
        <v>3044</v>
      </c>
      <c r="P93" s="33" t="s">
        <v>558</v>
      </c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>
        <v>13</v>
      </c>
      <c r="AC93" s="39">
        <v>1190</v>
      </c>
      <c r="AD93" s="52" t="s">
        <v>833</v>
      </c>
      <c r="AE93" s="39"/>
      <c r="AF93" s="39"/>
      <c r="AG93" s="39"/>
      <c r="AH93" s="39"/>
      <c r="AI93" s="39"/>
      <c r="AK93" s="58"/>
    </row>
    <row r="94" s="33" customFormat="1" spans="1:37">
      <c r="A94" s="66">
        <v>30631</v>
      </c>
      <c r="B94" s="33" t="s">
        <v>957</v>
      </c>
      <c r="C94" s="66" t="s">
        <v>301</v>
      </c>
      <c r="D94" s="33" t="s">
        <v>958</v>
      </c>
      <c r="E94" s="37" t="s">
        <v>512</v>
      </c>
      <c r="F94" s="39"/>
      <c r="G94" s="39"/>
      <c r="H94" s="39" t="s">
        <v>959</v>
      </c>
      <c r="I94" s="39" t="s">
        <v>960</v>
      </c>
      <c r="J94" s="39"/>
      <c r="K94" s="39"/>
      <c r="L94" s="39"/>
      <c r="M94" s="39"/>
      <c r="N94" s="64" t="s">
        <v>961</v>
      </c>
      <c r="O94" s="43">
        <v>5342</v>
      </c>
      <c r="P94" s="33" t="s">
        <v>867</v>
      </c>
      <c r="Q94" s="39">
        <v>2</v>
      </c>
      <c r="R94" s="39"/>
      <c r="S94" s="39">
        <v>9</v>
      </c>
      <c r="T94" s="39">
        <v>1</v>
      </c>
      <c r="U94" s="39"/>
      <c r="V94" s="39"/>
      <c r="W94" s="39">
        <v>3</v>
      </c>
      <c r="X94" s="39"/>
      <c r="Y94" s="39"/>
      <c r="Z94" s="39"/>
      <c r="AA94" s="39"/>
      <c r="AB94" s="39"/>
      <c r="AC94" s="39">
        <v>8</v>
      </c>
      <c r="AD94" s="39" t="s">
        <v>962</v>
      </c>
      <c r="AE94" s="39"/>
      <c r="AF94" s="39" t="s">
        <v>963</v>
      </c>
      <c r="AG94" s="39" t="s">
        <v>544</v>
      </c>
      <c r="AH94" s="39">
        <v>3</v>
      </c>
      <c r="AI94" s="39"/>
      <c r="AK94" s="58"/>
    </row>
    <row r="95" spans="1:37">
      <c r="A95" s="66">
        <v>30641</v>
      </c>
      <c r="B95" s="33" t="s">
        <v>964</v>
      </c>
      <c r="C95" s="33" t="s">
        <v>304</v>
      </c>
      <c r="D95" s="33" t="s">
        <v>965</v>
      </c>
      <c r="E95" s="33" t="s">
        <v>527</v>
      </c>
      <c r="H95" s="39" t="s">
        <v>966</v>
      </c>
      <c r="I95" s="39" t="s">
        <v>966</v>
      </c>
      <c r="N95" s="64" t="s">
        <v>967</v>
      </c>
      <c r="O95" s="43">
        <v>3060</v>
      </c>
      <c r="P95" s="33" t="s">
        <v>558</v>
      </c>
      <c r="S95" s="39">
        <v>3</v>
      </c>
      <c r="AB95" s="39">
        <v>4</v>
      </c>
      <c r="AC95" s="39" t="s">
        <v>968</v>
      </c>
      <c r="AD95" s="39" t="s">
        <v>969</v>
      </c>
    </row>
    <row r="96" s="35" customFormat="1" spans="1:37">
      <c r="A96" s="35" t="s">
        <v>970</v>
      </c>
      <c r="B96" s="35" t="s">
        <v>827</v>
      </c>
      <c r="C96" s="35" t="s">
        <v>244</v>
      </c>
      <c r="D96" s="35" t="s">
        <v>922</v>
      </c>
      <c r="E96" s="35" t="s">
        <v>527</v>
      </c>
      <c r="F96" s="52"/>
      <c r="G96" s="52"/>
      <c r="H96" s="52" t="s">
        <v>971</v>
      </c>
      <c r="I96" s="52" t="s">
        <v>971</v>
      </c>
      <c r="J96" s="52"/>
      <c r="K96" s="39"/>
      <c r="L96" s="52" t="s">
        <v>830</v>
      </c>
      <c r="M96" s="52" t="s">
        <v>575</v>
      </c>
      <c r="N96" s="52" t="s">
        <v>972</v>
      </c>
      <c r="O96" s="52">
        <v>3008</v>
      </c>
      <c r="P96" s="35" t="s">
        <v>558</v>
      </c>
      <c r="Q96" s="52"/>
      <c r="R96" s="52"/>
      <c r="S96" s="52"/>
      <c r="T96" s="52"/>
      <c r="U96" s="52"/>
      <c r="V96" s="52"/>
      <c r="W96" s="52">
        <v>1</v>
      </c>
      <c r="X96" s="52"/>
      <c r="Y96" s="52"/>
      <c r="Z96" s="52"/>
      <c r="AA96" s="52"/>
      <c r="AB96" s="52">
        <v>13</v>
      </c>
      <c r="AC96" s="52">
        <v>1192</v>
      </c>
      <c r="AD96" s="52" t="s">
        <v>833</v>
      </c>
      <c r="AE96" s="52"/>
      <c r="AF96" s="52"/>
      <c r="AG96" s="52"/>
      <c r="AH96" s="52"/>
      <c r="AI96" s="52"/>
      <c r="AK96" s="60"/>
    </row>
    <row r="97" customFormat="1" spans="1:36">
      <c r="A97" s="18">
        <v>30661</v>
      </c>
      <c r="B97" s="33" t="s">
        <v>932</v>
      </c>
      <c r="C97" s="33" t="s">
        <v>312</v>
      </c>
      <c r="D97" s="33" t="s">
        <v>973</v>
      </c>
      <c r="E97" s="37" t="s">
        <v>512</v>
      </c>
      <c r="F97" s="39"/>
      <c r="G97" s="39"/>
      <c r="H97" s="39" t="s">
        <v>974</v>
      </c>
      <c r="I97" s="39" t="s">
        <v>974</v>
      </c>
      <c r="J97" s="39"/>
      <c r="K97" s="39"/>
      <c r="L97" s="39"/>
      <c r="M97" s="39"/>
      <c r="N97" s="52" t="s">
        <v>975</v>
      </c>
      <c r="O97" s="43">
        <v>3044</v>
      </c>
      <c r="P97" s="33" t="s">
        <v>867</v>
      </c>
      <c r="Q97" s="39">
        <v>1</v>
      </c>
      <c r="R97" s="39"/>
      <c r="S97" s="39">
        <v>9</v>
      </c>
      <c r="T97" s="39">
        <v>1</v>
      </c>
      <c r="U97" s="39"/>
      <c r="V97" s="39"/>
      <c r="W97" s="39"/>
      <c r="X97" s="39"/>
      <c r="Y97" s="39"/>
      <c r="Z97" s="39"/>
      <c r="AA97" s="39"/>
      <c r="AB97" s="39"/>
      <c r="AC97" s="18">
        <v>30661</v>
      </c>
      <c r="AD97" s="39" t="s">
        <v>14</v>
      </c>
      <c r="AE97" s="39"/>
      <c r="AF97" s="39"/>
      <c r="AG97" s="39"/>
      <c r="AH97" s="39"/>
      <c r="AI97" s="39"/>
      <c r="AJ97" s="33"/>
    </row>
    <row r="98" customFormat="1" spans="1:36">
      <c r="A98" s="18">
        <v>30671</v>
      </c>
      <c r="B98" s="33" t="s">
        <v>793</v>
      </c>
      <c r="C98" s="33" t="s">
        <v>315</v>
      </c>
      <c r="D98" s="33" t="s">
        <v>976</v>
      </c>
      <c r="E98" s="37" t="s">
        <v>512</v>
      </c>
      <c r="F98" s="39"/>
      <c r="G98" s="39"/>
      <c r="H98" s="39" t="s">
        <v>977</v>
      </c>
      <c r="I98" s="39" t="s">
        <v>977</v>
      </c>
      <c r="J98" s="39"/>
      <c r="K98" s="39"/>
      <c r="L98" s="39"/>
      <c r="M98" s="39"/>
      <c r="N98" s="52" t="s">
        <v>978</v>
      </c>
      <c r="O98" s="43">
        <v>3044</v>
      </c>
      <c r="P98" s="33" t="s">
        <v>867</v>
      </c>
      <c r="Q98" s="39">
        <v>2</v>
      </c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18" t="s">
        <v>979</v>
      </c>
      <c r="AD98" s="39" t="s">
        <v>14</v>
      </c>
      <c r="AE98" s="39"/>
      <c r="AF98" s="39"/>
      <c r="AG98" s="39"/>
      <c r="AH98" s="39"/>
      <c r="AI98" s="39"/>
      <c r="AJ98" s="33"/>
    </row>
    <row r="99" customFormat="1" spans="1:36">
      <c r="A99" s="18">
        <v>30681</v>
      </c>
      <c r="B99" s="33" t="s">
        <v>793</v>
      </c>
      <c r="C99" s="33" t="s">
        <v>318</v>
      </c>
      <c r="D99" s="33" t="s">
        <v>980</v>
      </c>
      <c r="E99" s="37" t="s">
        <v>512</v>
      </c>
      <c r="F99" s="39"/>
      <c r="G99" s="39"/>
      <c r="H99" s="39" t="s">
        <v>981</v>
      </c>
      <c r="I99" s="39" t="s">
        <v>982</v>
      </c>
      <c r="J99" s="39"/>
      <c r="K99" s="39"/>
      <c r="L99" s="39"/>
      <c r="M99" s="39"/>
      <c r="N99" s="52" t="s">
        <v>983</v>
      </c>
      <c r="O99" s="43">
        <v>3044</v>
      </c>
      <c r="P99" s="33" t="s">
        <v>867</v>
      </c>
      <c r="Q99" s="39">
        <v>1</v>
      </c>
      <c r="R99" s="39"/>
      <c r="S99" s="39"/>
      <c r="T99" s="39"/>
      <c r="U99" s="39"/>
      <c r="V99" s="39"/>
      <c r="W99" s="39">
        <v>2</v>
      </c>
      <c r="X99" s="39"/>
      <c r="Y99" s="39"/>
      <c r="Z99" s="39"/>
      <c r="AA99" s="39"/>
      <c r="AB99" s="39"/>
      <c r="AC99" s="18">
        <v>30681</v>
      </c>
      <c r="AD99" s="39" t="s">
        <v>14</v>
      </c>
      <c r="AE99" s="39"/>
      <c r="AF99" s="39" t="s">
        <v>963</v>
      </c>
      <c r="AG99" s="39" t="s">
        <v>544</v>
      </c>
      <c r="AH99" s="39">
        <v>2</v>
      </c>
      <c r="AI99" s="39"/>
      <c r="AJ99" s="33"/>
    </row>
    <row r="100" customFormat="1" spans="1:36">
      <c r="A100" s="66">
        <v>30691</v>
      </c>
      <c r="B100" s="33" t="s">
        <v>793</v>
      </c>
      <c r="C100" s="66" t="s">
        <v>321</v>
      </c>
      <c r="D100" s="33" t="s">
        <v>984</v>
      </c>
      <c r="E100" s="33" t="s">
        <v>527</v>
      </c>
      <c r="F100" s="39"/>
      <c r="G100" s="39"/>
      <c r="H100" s="39" t="s">
        <v>985</v>
      </c>
      <c r="I100" s="39" t="s">
        <v>985</v>
      </c>
      <c r="J100" s="39"/>
      <c r="K100" s="39"/>
      <c r="L100" s="39"/>
      <c r="M100" s="39"/>
      <c r="N100" s="52" t="s">
        <v>986</v>
      </c>
      <c r="O100" s="39"/>
      <c r="P100" s="33" t="s">
        <v>558</v>
      </c>
      <c r="Q100" s="39"/>
      <c r="R100" s="39"/>
      <c r="S100" s="39">
        <v>9</v>
      </c>
      <c r="T100" s="39">
        <v>1</v>
      </c>
      <c r="U100" s="39"/>
      <c r="V100" s="39"/>
      <c r="W100" s="39"/>
      <c r="X100" s="39"/>
      <c r="Y100" s="39"/>
      <c r="Z100" s="39"/>
      <c r="AA100" s="39"/>
      <c r="AB100" s="39">
        <v>4</v>
      </c>
      <c r="AC100" s="66">
        <v>30691</v>
      </c>
      <c r="AD100" s="39" t="s">
        <v>14</v>
      </c>
      <c r="AE100" s="39"/>
      <c r="AF100" s="39"/>
      <c r="AG100" s="39"/>
      <c r="AH100" s="39"/>
      <c r="AI100" s="39"/>
      <c r="AJ100" s="33"/>
    </row>
    <row r="101" customFormat="1" spans="1:36">
      <c r="A101" s="66">
        <v>30701</v>
      </c>
      <c r="B101" s="33" t="s">
        <v>987</v>
      </c>
      <c r="C101" s="66" t="s">
        <v>325</v>
      </c>
      <c r="D101" s="33" t="s">
        <v>988</v>
      </c>
      <c r="E101" s="33" t="s">
        <v>527</v>
      </c>
      <c r="F101" s="39"/>
      <c r="G101" s="39"/>
      <c r="H101" s="39" t="s">
        <v>989</v>
      </c>
      <c r="I101" s="39" t="s">
        <v>989</v>
      </c>
      <c r="J101" s="39"/>
      <c r="K101" s="39"/>
      <c r="L101" s="39"/>
      <c r="M101" s="39"/>
      <c r="N101" s="52" t="s">
        <v>990</v>
      </c>
      <c r="O101" s="39">
        <v>3044</v>
      </c>
      <c r="P101" s="33" t="s">
        <v>558</v>
      </c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>
        <v>15</v>
      </c>
      <c r="AC101" s="39" t="s">
        <v>991</v>
      </c>
      <c r="AD101" s="39" t="s">
        <v>992</v>
      </c>
      <c r="AE101" s="39"/>
      <c r="AF101" s="39"/>
      <c r="AG101" s="39"/>
      <c r="AH101" s="39"/>
      <c r="AI101" s="39"/>
      <c r="AJ101" s="33"/>
    </row>
    <row r="102" customFormat="1" spans="1:36">
      <c r="A102" s="66">
        <v>30711</v>
      </c>
      <c r="B102" s="33" t="s">
        <v>793</v>
      </c>
      <c r="C102" s="66" t="s">
        <v>329</v>
      </c>
      <c r="D102" s="33" t="s">
        <v>993</v>
      </c>
      <c r="E102" s="33" t="s">
        <v>527</v>
      </c>
      <c r="F102" s="39"/>
      <c r="G102" s="39"/>
      <c r="H102" s="39" t="s">
        <v>994</v>
      </c>
      <c r="I102" s="39" t="s">
        <v>994</v>
      </c>
      <c r="J102" s="39"/>
      <c r="K102" s="39"/>
      <c r="L102" s="39"/>
      <c r="M102" s="39"/>
      <c r="N102" s="52" t="s">
        <v>995</v>
      </c>
      <c r="O102" s="39"/>
      <c r="P102" s="33" t="s">
        <v>558</v>
      </c>
      <c r="Q102" s="39"/>
      <c r="R102" s="39"/>
      <c r="S102" s="39">
        <v>9</v>
      </c>
      <c r="T102" s="39">
        <v>1</v>
      </c>
      <c r="U102" s="39"/>
      <c r="V102" s="39"/>
      <c r="W102" s="39"/>
      <c r="X102" s="39"/>
      <c r="Y102" s="39"/>
      <c r="Z102" s="39"/>
      <c r="AA102" s="39"/>
      <c r="AB102" s="39">
        <v>4</v>
      </c>
      <c r="AC102" s="39" t="s">
        <v>996</v>
      </c>
      <c r="AD102" s="39" t="s">
        <v>997</v>
      </c>
      <c r="AE102" s="39"/>
      <c r="AF102" s="39"/>
      <c r="AG102" s="39"/>
      <c r="AH102" s="39"/>
      <c r="AI102" s="39"/>
      <c r="AJ102" s="33"/>
    </row>
    <row r="103" spans="1:36">
      <c r="A103" s="33" t="s">
        <v>998</v>
      </c>
      <c r="B103" s="33" t="s">
        <v>793</v>
      </c>
      <c r="C103" s="66" t="s">
        <v>332</v>
      </c>
      <c r="D103" s="33" t="s">
        <v>999</v>
      </c>
      <c r="E103" s="33" t="s">
        <v>527</v>
      </c>
      <c r="H103" s="39" t="s">
        <v>1000</v>
      </c>
      <c r="I103" s="39" t="s">
        <v>1000</v>
      </c>
      <c r="N103" s="52" t="s">
        <v>1001</v>
      </c>
      <c r="O103" s="39">
        <v>3044</v>
      </c>
      <c r="P103" s="33" t="s">
        <v>558</v>
      </c>
      <c r="S103" s="39">
        <v>3</v>
      </c>
      <c r="AB103" s="39">
        <v>4</v>
      </c>
      <c r="AC103" s="39">
        <v>30721</v>
      </c>
      <c r="AD103" s="39" t="s">
        <v>14</v>
      </c>
    </row>
    <row r="104" spans="1:36">
      <c r="A104" s="18">
        <v>30731</v>
      </c>
      <c r="B104" s="33" t="s">
        <v>1002</v>
      </c>
      <c r="C104" s="33" t="s">
        <v>336</v>
      </c>
      <c r="D104" s="33" t="s">
        <v>1003</v>
      </c>
      <c r="E104" s="33" t="s">
        <v>512</v>
      </c>
      <c r="H104" s="39" t="s">
        <v>1000</v>
      </c>
      <c r="I104" s="39" t="s">
        <v>1004</v>
      </c>
      <c r="N104" s="52" t="s">
        <v>1005</v>
      </c>
      <c r="P104" s="33" t="s">
        <v>867</v>
      </c>
      <c r="Q104" s="39">
        <v>1</v>
      </c>
      <c r="AA104" s="18" t="s">
        <v>1006</v>
      </c>
    </row>
    <row r="105" spans="1:36">
      <c r="A105" s="18">
        <v>30741</v>
      </c>
      <c r="B105" s="33" t="s">
        <v>1007</v>
      </c>
      <c r="C105" s="33" t="s">
        <v>340</v>
      </c>
      <c r="D105" s="33" t="s">
        <v>1008</v>
      </c>
      <c r="E105" s="33" t="s">
        <v>512</v>
      </c>
      <c r="H105" s="39" t="s">
        <v>1009</v>
      </c>
      <c r="I105" s="39" t="s">
        <v>1010</v>
      </c>
      <c r="N105" s="52" t="s">
        <v>1011</v>
      </c>
      <c r="O105" s="39">
        <v>3044</v>
      </c>
      <c r="P105" s="33" t="s">
        <v>867</v>
      </c>
      <c r="AC105" s="39" t="s">
        <v>1012</v>
      </c>
      <c r="AD105" s="39" t="s">
        <v>1013</v>
      </c>
      <c r="AG105" s="39" t="s">
        <v>1014</v>
      </c>
      <c r="AH105" s="39">
        <v>0</v>
      </c>
    </row>
    <row r="106" spans="1:36">
      <c r="A106" s="18">
        <v>30751</v>
      </c>
      <c r="B106" s="33" t="s">
        <v>1015</v>
      </c>
      <c r="C106" s="33" t="s">
        <v>344</v>
      </c>
      <c r="D106" s="33" t="s">
        <v>1016</v>
      </c>
      <c r="E106" s="33" t="s">
        <v>527</v>
      </c>
      <c r="H106" s="39" t="s">
        <v>1017</v>
      </c>
      <c r="I106" s="39" t="s">
        <v>1017</v>
      </c>
      <c r="N106" s="52" t="s">
        <v>1018</v>
      </c>
      <c r="O106" s="39">
        <v>3044</v>
      </c>
      <c r="P106" s="33" t="s">
        <v>558</v>
      </c>
      <c r="AC106" s="39" t="s">
        <v>1019</v>
      </c>
      <c r="AD106" s="39" t="s">
        <v>1020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105"/>
  <sheetViews>
    <sheetView topLeftCell="A44" workbookViewId="0">
      <selection activeCell="A74" sqref="A74"/>
    </sheetView>
  </sheetViews>
  <sheetFormatPr defaultColWidth="9" defaultRowHeight="16.5" outlineLevelCol="4"/>
  <cols>
    <col min="1" max="1" width="8.75" style="19" customWidth="1"/>
    <col min="2" max="2" width="16.875" style="20" customWidth="1"/>
    <col min="3" max="3" width="9.375" style="19" customWidth="1"/>
    <col min="4" max="5" width="12" style="19" customWidth="1"/>
    <col min="6" max="16384" width="9" style="19"/>
  </cols>
  <sheetData>
    <row r="1" spans="1:5">
      <c r="A1" s="8" t="s">
        <v>0</v>
      </c>
      <c r="B1" s="21" t="s">
        <v>1021</v>
      </c>
      <c r="C1" s="8" t="s">
        <v>23</v>
      </c>
      <c r="D1" s="8" t="s">
        <v>1022</v>
      </c>
      <c r="E1" s="8" t="s">
        <v>1023</v>
      </c>
    </row>
    <row r="2" spans="1:5">
      <c r="A2" s="8" t="s">
        <v>29</v>
      </c>
      <c r="B2" s="21" t="s">
        <v>1024</v>
      </c>
      <c r="C2" s="8" t="s">
        <v>52</v>
      </c>
      <c r="D2" s="8" t="s">
        <v>1025</v>
      </c>
      <c r="E2" s="8" t="s">
        <v>1026</v>
      </c>
    </row>
    <row r="3" ht="75.95" customHeight="1" spans="1:5">
      <c r="A3" s="8" t="s">
        <v>1027</v>
      </c>
      <c r="B3" s="21" t="s">
        <v>1028</v>
      </c>
      <c r="C3" s="8"/>
      <c r="D3" s="8" t="s">
        <v>1029</v>
      </c>
      <c r="E3" s="8" t="s">
        <v>1030</v>
      </c>
    </row>
    <row r="4" spans="1:5">
      <c r="A4" s="8" t="s">
        <v>83</v>
      </c>
      <c r="B4" s="21" t="s">
        <v>84</v>
      </c>
      <c r="C4" s="8" t="s">
        <v>83</v>
      </c>
      <c r="D4" s="8" t="s">
        <v>83</v>
      </c>
      <c r="E4" s="8" t="s">
        <v>83</v>
      </c>
    </row>
    <row r="5" spans="1:5">
      <c r="A5" s="8" t="s">
        <v>88</v>
      </c>
      <c r="B5" s="21"/>
      <c r="C5" s="8"/>
      <c r="D5" s="8"/>
      <c r="E5" s="8"/>
    </row>
    <row r="6" spans="1:5">
      <c r="A6" s="1">
        <v>1</v>
      </c>
      <c r="C6" s="1">
        <v>1</v>
      </c>
      <c r="D6" s="1">
        <v>1</v>
      </c>
      <c r="E6" s="1">
        <v>100</v>
      </c>
    </row>
    <row r="7" spans="1:5">
      <c r="A7" s="1">
        <v>2</v>
      </c>
      <c r="C7" s="1">
        <v>1</v>
      </c>
      <c r="D7" s="1">
        <v>2</v>
      </c>
      <c r="E7" s="1">
        <v>100</v>
      </c>
    </row>
    <row r="8" spans="1:5">
      <c r="A8" s="1">
        <v>3</v>
      </c>
      <c r="C8" s="1">
        <v>1</v>
      </c>
      <c r="D8" s="1">
        <v>3</v>
      </c>
      <c r="E8" s="1">
        <v>100</v>
      </c>
    </row>
    <row r="9" spans="1:5">
      <c r="A9" s="1">
        <v>4</v>
      </c>
      <c r="C9" s="1">
        <v>1</v>
      </c>
      <c r="D9" s="1">
        <v>4</v>
      </c>
      <c r="E9" s="1">
        <v>100</v>
      </c>
    </row>
    <row r="10" spans="1:5">
      <c r="A10" s="1">
        <v>5</v>
      </c>
      <c r="C10" s="1">
        <v>1</v>
      </c>
      <c r="D10" s="1">
        <v>5</v>
      </c>
      <c r="E10" s="1">
        <v>150</v>
      </c>
    </row>
    <row r="11" spans="1:5">
      <c r="A11" s="1">
        <v>6</v>
      </c>
      <c r="C11" s="1">
        <v>1</v>
      </c>
      <c r="D11" s="1">
        <v>6</v>
      </c>
      <c r="E11" s="1">
        <v>150</v>
      </c>
    </row>
    <row r="12" spans="1:5">
      <c r="A12" s="1">
        <v>7</v>
      </c>
      <c r="C12" s="1">
        <v>1</v>
      </c>
      <c r="D12" s="1">
        <v>7</v>
      </c>
      <c r="E12" s="1">
        <v>150</v>
      </c>
    </row>
    <row r="13" spans="1:5">
      <c r="A13" s="1">
        <v>8</v>
      </c>
      <c r="C13" s="1">
        <v>1</v>
      </c>
      <c r="D13" s="1">
        <v>8</v>
      </c>
      <c r="E13" s="1">
        <v>150</v>
      </c>
    </row>
    <row r="14" spans="1:5">
      <c r="A14" s="1">
        <v>9</v>
      </c>
      <c r="C14" s="1">
        <v>1</v>
      </c>
      <c r="D14" s="1">
        <v>9</v>
      </c>
      <c r="E14" s="1">
        <v>200</v>
      </c>
    </row>
    <row r="15" spans="1:5">
      <c r="A15" s="1">
        <v>10</v>
      </c>
      <c r="C15" s="1">
        <v>1</v>
      </c>
      <c r="D15" s="1">
        <v>10</v>
      </c>
      <c r="E15" s="1">
        <v>200</v>
      </c>
    </row>
    <row r="16" spans="1:5">
      <c r="A16" s="1">
        <v>11</v>
      </c>
      <c r="C16" s="1">
        <v>1</v>
      </c>
      <c r="D16" s="1">
        <v>11</v>
      </c>
      <c r="E16" s="1">
        <v>200</v>
      </c>
    </row>
    <row r="17" spans="1:5">
      <c r="A17" s="1">
        <v>12</v>
      </c>
      <c r="C17" s="1">
        <v>1</v>
      </c>
      <c r="D17" s="1">
        <v>12</v>
      </c>
      <c r="E17" s="1">
        <v>200</v>
      </c>
    </row>
    <row r="18" spans="1:5">
      <c r="A18" s="1">
        <v>13</v>
      </c>
      <c r="C18" s="1">
        <v>1</v>
      </c>
      <c r="D18" s="1">
        <v>13</v>
      </c>
      <c r="E18" s="1">
        <v>250</v>
      </c>
    </row>
    <row r="19" spans="1:5">
      <c r="A19" s="1">
        <v>14</v>
      </c>
      <c r="C19" s="1">
        <v>1</v>
      </c>
      <c r="D19" s="1">
        <v>14</v>
      </c>
      <c r="E19" s="1">
        <v>250</v>
      </c>
    </row>
    <row r="20" spans="1:5">
      <c r="A20" s="1">
        <v>15</v>
      </c>
      <c r="C20" s="1">
        <v>1</v>
      </c>
      <c r="D20" s="1">
        <v>15</v>
      </c>
      <c r="E20" s="1">
        <v>250</v>
      </c>
    </row>
    <row r="21" spans="1:5">
      <c r="A21" s="1">
        <v>16</v>
      </c>
      <c r="C21" s="1">
        <v>1</v>
      </c>
      <c r="D21" s="1">
        <v>16</v>
      </c>
      <c r="E21" s="1">
        <v>250</v>
      </c>
    </row>
    <row r="22" spans="1:5">
      <c r="A22" s="1">
        <v>17</v>
      </c>
      <c r="C22" s="1">
        <v>1</v>
      </c>
      <c r="D22" s="1">
        <v>17</v>
      </c>
      <c r="E22" s="1">
        <v>300</v>
      </c>
    </row>
    <row r="23" spans="1:5">
      <c r="A23" s="1">
        <v>18</v>
      </c>
      <c r="C23" s="1">
        <v>1</v>
      </c>
      <c r="D23" s="1">
        <v>18</v>
      </c>
      <c r="E23" s="1">
        <v>300</v>
      </c>
    </row>
    <row r="24" spans="1:5">
      <c r="A24" s="1">
        <v>19</v>
      </c>
      <c r="C24" s="1">
        <v>1</v>
      </c>
      <c r="D24" s="1">
        <v>19</v>
      </c>
      <c r="E24" s="1">
        <v>300</v>
      </c>
    </row>
    <row r="25" spans="1:5">
      <c r="A25" s="1">
        <v>20</v>
      </c>
      <c r="C25" s="1">
        <v>1</v>
      </c>
      <c r="D25" s="1">
        <v>20</v>
      </c>
      <c r="E25" s="1">
        <v>300</v>
      </c>
    </row>
    <row r="26" spans="1:5">
      <c r="A26" s="1">
        <v>21</v>
      </c>
      <c r="C26" s="1">
        <v>1</v>
      </c>
      <c r="D26" s="1">
        <v>21</v>
      </c>
      <c r="E26" s="1">
        <v>350</v>
      </c>
    </row>
    <row r="27" spans="1:5">
      <c r="A27" s="1">
        <v>22</v>
      </c>
      <c r="C27" s="1">
        <v>1</v>
      </c>
      <c r="D27" s="1">
        <v>22</v>
      </c>
      <c r="E27" s="1">
        <v>350</v>
      </c>
    </row>
    <row r="28" spans="1:5">
      <c r="A28" s="1">
        <v>23</v>
      </c>
      <c r="C28" s="1">
        <v>1</v>
      </c>
      <c r="D28" s="1">
        <v>23</v>
      </c>
      <c r="E28" s="1">
        <v>350</v>
      </c>
    </row>
    <row r="29" spans="1:5">
      <c r="A29" s="1">
        <v>24</v>
      </c>
      <c r="C29" s="1">
        <v>1</v>
      </c>
      <c r="D29" s="1">
        <v>24</v>
      </c>
      <c r="E29" s="1">
        <v>350</v>
      </c>
    </row>
    <row r="30" spans="1:5">
      <c r="A30" s="1">
        <v>25</v>
      </c>
      <c r="C30" s="1">
        <v>1</v>
      </c>
      <c r="D30" s="1">
        <v>25</v>
      </c>
      <c r="E30" s="1">
        <v>400</v>
      </c>
    </row>
    <row r="31" spans="1:5">
      <c r="A31" s="1">
        <v>26</v>
      </c>
      <c r="C31" s="1">
        <v>1</v>
      </c>
      <c r="D31" s="1">
        <v>26</v>
      </c>
      <c r="E31" s="1">
        <v>400</v>
      </c>
    </row>
    <row r="32" spans="1:5">
      <c r="A32" s="1">
        <v>27</v>
      </c>
      <c r="C32" s="1">
        <v>1</v>
      </c>
      <c r="D32" s="1">
        <v>27</v>
      </c>
      <c r="E32" s="1">
        <v>400</v>
      </c>
    </row>
    <row r="33" spans="1:5">
      <c r="A33" s="1">
        <v>28</v>
      </c>
      <c r="C33" s="1">
        <v>1</v>
      </c>
      <c r="D33" s="1">
        <v>28</v>
      </c>
      <c r="E33" s="1">
        <v>400</v>
      </c>
    </row>
    <row r="34" spans="1:5">
      <c r="A34" s="1">
        <v>29</v>
      </c>
      <c r="C34" s="1">
        <v>1</v>
      </c>
      <c r="D34" s="1">
        <v>29</v>
      </c>
      <c r="E34" s="1">
        <v>450</v>
      </c>
    </row>
    <row r="35" spans="1:5">
      <c r="A35" s="1">
        <v>30</v>
      </c>
      <c r="C35" s="1">
        <v>1</v>
      </c>
      <c r="D35" s="1">
        <v>30</v>
      </c>
      <c r="E35" s="1">
        <v>450</v>
      </c>
    </row>
    <row r="36" spans="1:5">
      <c r="A36" s="1">
        <v>31</v>
      </c>
      <c r="C36" s="1">
        <v>1</v>
      </c>
      <c r="D36" s="1">
        <v>31</v>
      </c>
      <c r="E36" s="1">
        <v>450</v>
      </c>
    </row>
    <row r="37" spans="1:5">
      <c r="A37" s="1">
        <v>32</v>
      </c>
      <c r="C37" s="1">
        <v>1</v>
      </c>
      <c r="D37" s="1">
        <v>32</v>
      </c>
      <c r="E37" s="1">
        <v>450</v>
      </c>
    </row>
    <row r="38" spans="1:5">
      <c r="A38" s="1">
        <v>33</v>
      </c>
      <c r="C38" s="1">
        <v>1</v>
      </c>
      <c r="D38" s="1">
        <v>33</v>
      </c>
      <c r="E38" s="1">
        <v>500</v>
      </c>
    </row>
    <row r="39" spans="1:5">
      <c r="A39" s="1">
        <v>34</v>
      </c>
      <c r="C39" s="1">
        <v>1</v>
      </c>
      <c r="D39" s="1">
        <v>34</v>
      </c>
      <c r="E39" s="1">
        <v>500</v>
      </c>
    </row>
    <row r="40" spans="1:5">
      <c r="A40" s="1">
        <v>35</v>
      </c>
      <c r="C40" s="1">
        <v>1</v>
      </c>
      <c r="D40" s="1">
        <v>35</v>
      </c>
      <c r="E40" s="1">
        <v>500</v>
      </c>
    </row>
    <row r="41" spans="1:5">
      <c r="A41" s="1">
        <v>36</v>
      </c>
      <c r="C41" s="1">
        <v>1</v>
      </c>
      <c r="D41" s="1">
        <v>36</v>
      </c>
      <c r="E41" s="1">
        <v>500</v>
      </c>
    </row>
    <row r="42" spans="1:5">
      <c r="A42" s="1">
        <v>37</v>
      </c>
      <c r="C42" s="1">
        <v>1</v>
      </c>
      <c r="D42" s="1">
        <v>37</v>
      </c>
      <c r="E42" s="1">
        <v>550</v>
      </c>
    </row>
    <row r="43" spans="1:5">
      <c r="A43" s="1">
        <v>38</v>
      </c>
      <c r="C43" s="1">
        <v>1</v>
      </c>
      <c r="D43" s="1">
        <v>38</v>
      </c>
      <c r="E43" s="1">
        <v>550</v>
      </c>
    </row>
    <row r="44" spans="1:5">
      <c r="A44" s="1">
        <v>39</v>
      </c>
      <c r="C44" s="1">
        <v>1</v>
      </c>
      <c r="D44" s="1">
        <v>39</v>
      </c>
      <c r="E44" s="1">
        <v>550</v>
      </c>
    </row>
    <row r="45" spans="1:5">
      <c r="A45" s="1">
        <v>40</v>
      </c>
      <c r="C45" s="1">
        <v>1</v>
      </c>
      <c r="D45" s="1">
        <v>40</v>
      </c>
      <c r="E45" s="1">
        <v>550</v>
      </c>
    </row>
    <row r="46" spans="1:5">
      <c r="A46" s="1">
        <v>41</v>
      </c>
      <c r="C46" s="1">
        <v>1</v>
      </c>
      <c r="D46" s="1">
        <v>41</v>
      </c>
      <c r="E46" s="1">
        <v>600</v>
      </c>
    </row>
    <row r="47" spans="1:5">
      <c r="A47" s="1">
        <v>42</v>
      </c>
      <c r="C47" s="1">
        <v>1</v>
      </c>
      <c r="D47" s="1">
        <v>42</v>
      </c>
      <c r="E47" s="1">
        <v>600</v>
      </c>
    </row>
    <row r="48" spans="1:5">
      <c r="A48" s="1">
        <v>43</v>
      </c>
      <c r="C48" s="1">
        <v>1</v>
      </c>
      <c r="D48" s="1">
        <v>43</v>
      </c>
      <c r="E48" s="1">
        <v>600</v>
      </c>
    </row>
    <row r="49" spans="1:5">
      <c r="A49" s="1">
        <v>44</v>
      </c>
      <c r="C49" s="1">
        <v>1</v>
      </c>
      <c r="D49" s="1">
        <v>44</v>
      </c>
      <c r="E49" s="1">
        <v>600</v>
      </c>
    </row>
    <row r="50" spans="1:5">
      <c r="A50" s="1">
        <v>45</v>
      </c>
      <c r="C50" s="1">
        <v>1</v>
      </c>
      <c r="D50" s="1">
        <v>45</v>
      </c>
      <c r="E50" s="1">
        <v>650</v>
      </c>
    </row>
    <row r="51" spans="1:5">
      <c r="A51" s="1">
        <v>46</v>
      </c>
      <c r="C51" s="1">
        <v>1</v>
      </c>
      <c r="D51" s="1">
        <v>46</v>
      </c>
      <c r="E51" s="1">
        <v>650</v>
      </c>
    </row>
    <row r="52" spans="1:5">
      <c r="A52" s="1">
        <v>47</v>
      </c>
      <c r="C52" s="1">
        <v>1</v>
      </c>
      <c r="D52" s="1">
        <v>47</v>
      </c>
      <c r="E52" s="1">
        <v>650</v>
      </c>
    </row>
    <row r="53" spans="1:5">
      <c r="A53" s="1">
        <v>48</v>
      </c>
      <c r="C53" s="1">
        <v>1</v>
      </c>
      <c r="D53" s="1">
        <v>48</v>
      </c>
      <c r="E53" s="1">
        <v>650</v>
      </c>
    </row>
    <row r="54" spans="1:5">
      <c r="A54" s="1">
        <v>49</v>
      </c>
      <c r="C54" s="1">
        <v>1</v>
      </c>
      <c r="D54" s="1">
        <v>49</v>
      </c>
      <c r="E54" s="1">
        <v>700</v>
      </c>
    </row>
    <row r="55" spans="1:5">
      <c r="A55" s="1">
        <v>50</v>
      </c>
      <c r="C55" s="1">
        <v>1</v>
      </c>
      <c r="D55" s="1">
        <v>50</v>
      </c>
      <c r="E55" s="1">
        <v>700</v>
      </c>
    </row>
    <row r="56" spans="1:5">
      <c r="A56" s="1">
        <v>51</v>
      </c>
      <c r="C56" s="1">
        <v>1</v>
      </c>
      <c r="D56" s="1">
        <v>51</v>
      </c>
      <c r="E56" s="1">
        <v>700</v>
      </c>
    </row>
    <row r="57" spans="1:5">
      <c r="A57" s="1">
        <v>52</v>
      </c>
      <c r="C57" s="1">
        <v>1</v>
      </c>
      <c r="D57" s="1">
        <v>52</v>
      </c>
      <c r="E57" s="1">
        <v>700</v>
      </c>
    </row>
    <row r="58" spans="1:5">
      <c r="A58" s="1">
        <v>53</v>
      </c>
      <c r="C58" s="1">
        <v>1</v>
      </c>
      <c r="D58" s="1">
        <v>53</v>
      </c>
      <c r="E58" s="1">
        <v>750</v>
      </c>
    </row>
    <row r="59" spans="1:5">
      <c r="A59" s="1">
        <v>54</v>
      </c>
      <c r="C59" s="1">
        <v>1</v>
      </c>
      <c r="D59" s="1">
        <v>54</v>
      </c>
      <c r="E59" s="1">
        <v>750</v>
      </c>
    </row>
    <row r="60" spans="1:5">
      <c r="A60" s="1">
        <v>55</v>
      </c>
      <c r="C60" s="1">
        <v>1</v>
      </c>
      <c r="D60" s="1">
        <v>55</v>
      </c>
      <c r="E60" s="1">
        <v>750</v>
      </c>
    </row>
    <row r="61" spans="1:5">
      <c r="A61" s="1">
        <v>56</v>
      </c>
      <c r="C61" s="1">
        <v>1</v>
      </c>
      <c r="D61" s="1">
        <v>56</v>
      </c>
      <c r="E61" s="1">
        <v>750</v>
      </c>
    </row>
    <row r="62" spans="1:5">
      <c r="A62" s="1">
        <v>57</v>
      </c>
      <c r="C62" s="1">
        <v>1</v>
      </c>
      <c r="D62" s="1">
        <v>57</v>
      </c>
      <c r="E62" s="1">
        <v>800</v>
      </c>
    </row>
    <row r="63" spans="1:5">
      <c r="A63" s="1">
        <v>58</v>
      </c>
      <c r="C63" s="1">
        <v>1</v>
      </c>
      <c r="D63" s="1">
        <v>58</v>
      </c>
      <c r="E63" s="1">
        <v>800</v>
      </c>
    </row>
    <row r="64" spans="1:5">
      <c r="A64" s="1">
        <v>59</v>
      </c>
      <c r="C64" s="1">
        <v>1</v>
      </c>
      <c r="D64" s="1">
        <v>59</v>
      </c>
      <c r="E64" s="1">
        <v>800</v>
      </c>
    </row>
    <row r="65" spans="1:5">
      <c r="A65" s="1">
        <v>60</v>
      </c>
      <c r="C65" s="1">
        <v>1</v>
      </c>
      <c r="D65" s="1">
        <v>60</v>
      </c>
      <c r="E65" s="1">
        <v>800</v>
      </c>
    </row>
    <row r="66" spans="1:5">
      <c r="A66" s="1">
        <v>61</v>
      </c>
      <c r="C66" s="1">
        <v>1</v>
      </c>
      <c r="D66" s="1">
        <v>61</v>
      </c>
      <c r="E66" s="1">
        <v>850</v>
      </c>
    </row>
    <row r="67" spans="1:5">
      <c r="A67" s="1">
        <v>62</v>
      </c>
      <c r="C67" s="1">
        <v>1</v>
      </c>
      <c r="D67" s="1">
        <v>62</v>
      </c>
      <c r="E67" s="1">
        <v>850</v>
      </c>
    </row>
    <row r="68" spans="1:5">
      <c r="A68" s="1">
        <v>63</v>
      </c>
      <c r="C68" s="1">
        <v>1</v>
      </c>
      <c r="D68" s="1">
        <v>63</v>
      </c>
      <c r="E68" s="1">
        <v>850</v>
      </c>
    </row>
    <row r="69" spans="1:5">
      <c r="A69" s="1">
        <v>64</v>
      </c>
      <c r="C69" s="1">
        <v>1</v>
      </c>
      <c r="D69" s="1">
        <v>64</v>
      </c>
      <c r="E69" s="1">
        <v>850</v>
      </c>
    </row>
    <row r="70" spans="1:5">
      <c r="A70" s="1">
        <v>65</v>
      </c>
      <c r="C70" s="1">
        <v>1</v>
      </c>
      <c r="D70" s="1">
        <v>65</v>
      </c>
      <c r="E70" s="1">
        <v>900</v>
      </c>
    </row>
    <row r="71" spans="1:5">
      <c r="A71" s="1">
        <v>66</v>
      </c>
      <c r="C71" s="1">
        <v>1</v>
      </c>
      <c r="D71" s="1">
        <v>66</v>
      </c>
      <c r="E71" s="1">
        <v>900</v>
      </c>
    </row>
    <row r="72" spans="1:5">
      <c r="A72" s="1">
        <v>67</v>
      </c>
      <c r="C72" s="1">
        <v>1</v>
      </c>
      <c r="D72" s="1">
        <v>67</v>
      </c>
      <c r="E72" s="1">
        <v>900</v>
      </c>
    </row>
    <row r="73" spans="1:5">
      <c r="A73" s="1">
        <v>68</v>
      </c>
      <c r="C73" s="1">
        <v>1</v>
      </c>
      <c r="D73" s="1">
        <v>68</v>
      </c>
      <c r="E73" s="1">
        <v>900</v>
      </c>
    </row>
    <row r="74" spans="1:5">
      <c r="A74" s="1">
        <v>69</v>
      </c>
      <c r="C74" s="1">
        <v>1</v>
      </c>
      <c r="D74" s="1">
        <v>69</v>
      </c>
      <c r="E74" s="1">
        <v>950</v>
      </c>
    </row>
    <row r="75" spans="1:5">
      <c r="A75" s="1">
        <v>70</v>
      </c>
      <c r="C75" s="1">
        <v>1</v>
      </c>
      <c r="D75" s="1">
        <v>70</v>
      </c>
      <c r="E75" s="1">
        <v>950</v>
      </c>
    </row>
    <row r="76" spans="1:5">
      <c r="A76" s="1">
        <v>71</v>
      </c>
      <c r="C76" s="1">
        <v>1</v>
      </c>
      <c r="D76" s="1">
        <v>71</v>
      </c>
      <c r="E76" s="1">
        <v>950</v>
      </c>
    </row>
    <row r="77" spans="1:5">
      <c r="A77" s="1">
        <v>72</v>
      </c>
      <c r="C77" s="1">
        <v>1</v>
      </c>
      <c r="D77" s="1">
        <v>72</v>
      </c>
      <c r="E77" s="1">
        <v>950</v>
      </c>
    </row>
    <row r="78" spans="1:5">
      <c r="A78" s="1">
        <v>73</v>
      </c>
      <c r="C78" s="1">
        <v>1</v>
      </c>
      <c r="D78" s="1">
        <v>73</v>
      </c>
      <c r="E78" s="1">
        <v>1000</v>
      </c>
    </row>
    <row r="79" spans="1:5">
      <c r="A79" s="1">
        <v>74</v>
      </c>
      <c r="C79" s="1">
        <v>1</v>
      </c>
      <c r="D79" s="1">
        <v>74</v>
      </c>
      <c r="E79" s="1">
        <v>1000</v>
      </c>
    </row>
    <row r="80" spans="1:5">
      <c r="A80" s="1">
        <v>75</v>
      </c>
      <c r="C80" s="1">
        <v>1</v>
      </c>
      <c r="D80" s="1">
        <v>75</v>
      </c>
      <c r="E80" s="1">
        <v>1000</v>
      </c>
    </row>
    <row r="81" spans="1:5">
      <c r="A81" s="1">
        <v>76</v>
      </c>
      <c r="C81" s="1">
        <v>1</v>
      </c>
      <c r="D81" s="1">
        <v>76</v>
      </c>
      <c r="E81" s="1">
        <v>1000</v>
      </c>
    </row>
    <row r="82" spans="1:5">
      <c r="A82" s="1">
        <v>77</v>
      </c>
      <c r="C82" s="1">
        <v>1</v>
      </c>
      <c r="D82" s="1">
        <v>77</v>
      </c>
      <c r="E82" s="1">
        <v>1050</v>
      </c>
    </row>
    <row r="83" spans="1:5">
      <c r="A83" s="1">
        <v>78</v>
      </c>
      <c r="C83" s="1">
        <v>1</v>
      </c>
      <c r="D83" s="1">
        <v>78</v>
      </c>
      <c r="E83" s="1">
        <v>1050</v>
      </c>
    </row>
    <row r="84" spans="1:5">
      <c r="A84" s="1">
        <v>79</v>
      </c>
      <c r="C84" s="1">
        <v>1</v>
      </c>
      <c r="D84" s="1">
        <v>79</v>
      </c>
      <c r="E84" s="1">
        <v>1050</v>
      </c>
    </row>
    <row r="85" spans="1:5">
      <c r="A85" s="1">
        <v>80</v>
      </c>
      <c r="C85" s="1">
        <v>1</v>
      </c>
      <c r="D85" s="1">
        <v>80</v>
      </c>
      <c r="E85" s="1">
        <v>1050</v>
      </c>
    </row>
    <row r="86" spans="1:5">
      <c r="A86" s="1">
        <v>81</v>
      </c>
      <c r="C86" s="1">
        <v>1</v>
      </c>
      <c r="D86" s="1">
        <v>81</v>
      </c>
      <c r="E86" s="1">
        <v>1100</v>
      </c>
    </row>
    <row r="87" spans="1:5">
      <c r="A87" s="1">
        <v>82</v>
      </c>
      <c r="C87" s="1">
        <v>1</v>
      </c>
      <c r="D87" s="1">
        <v>82</v>
      </c>
      <c r="E87" s="1">
        <v>1100</v>
      </c>
    </row>
    <row r="88" spans="1:5">
      <c r="A88" s="1">
        <v>83</v>
      </c>
      <c r="C88" s="1">
        <v>1</v>
      </c>
      <c r="D88" s="1">
        <v>83</v>
      </c>
      <c r="E88" s="1">
        <v>1100</v>
      </c>
    </row>
    <row r="89" spans="1:5">
      <c r="A89" s="1">
        <v>84</v>
      </c>
      <c r="C89" s="1">
        <v>1</v>
      </c>
      <c r="D89" s="1">
        <v>84</v>
      </c>
      <c r="E89" s="1">
        <v>1100</v>
      </c>
    </row>
    <row r="90" spans="1:5">
      <c r="A90" s="1">
        <v>85</v>
      </c>
      <c r="C90" s="1">
        <v>1</v>
      </c>
      <c r="D90" s="1">
        <v>85</v>
      </c>
      <c r="E90" s="1">
        <v>1150</v>
      </c>
    </row>
    <row r="91" spans="1:5">
      <c r="A91" s="1">
        <v>86</v>
      </c>
      <c r="C91" s="1">
        <v>1</v>
      </c>
      <c r="D91" s="1">
        <v>86</v>
      </c>
      <c r="E91" s="1">
        <v>1150</v>
      </c>
    </row>
    <row r="92" spans="1:5">
      <c r="A92" s="1">
        <v>87</v>
      </c>
      <c r="C92" s="1">
        <v>1</v>
      </c>
      <c r="D92" s="1">
        <v>87</v>
      </c>
      <c r="E92" s="1">
        <v>1150</v>
      </c>
    </row>
    <row r="93" spans="1:5">
      <c r="A93" s="1">
        <v>88</v>
      </c>
      <c r="C93" s="1">
        <v>1</v>
      </c>
      <c r="D93" s="1">
        <v>88</v>
      </c>
      <c r="E93" s="1">
        <v>1150</v>
      </c>
    </row>
    <row r="94" spans="1:5">
      <c r="A94" s="1">
        <v>89</v>
      </c>
      <c r="C94" s="1">
        <v>1</v>
      </c>
      <c r="D94" s="1">
        <v>89</v>
      </c>
      <c r="E94" s="1">
        <v>1200</v>
      </c>
    </row>
    <row r="95" spans="1:5">
      <c r="A95" s="1">
        <v>90</v>
      </c>
      <c r="C95" s="1">
        <v>1</v>
      </c>
      <c r="D95" s="1">
        <v>90</v>
      </c>
      <c r="E95" s="1">
        <v>1200</v>
      </c>
    </row>
    <row r="96" spans="1:5">
      <c r="A96" s="1">
        <v>91</v>
      </c>
      <c r="C96" s="1">
        <v>1</v>
      </c>
      <c r="D96" s="1">
        <v>91</v>
      </c>
      <c r="E96" s="1">
        <v>1200</v>
      </c>
    </row>
    <row r="97" spans="1:5">
      <c r="A97" s="1">
        <v>92</v>
      </c>
      <c r="C97" s="1">
        <v>1</v>
      </c>
      <c r="D97" s="1">
        <v>92</v>
      </c>
      <c r="E97" s="1">
        <v>1200</v>
      </c>
    </row>
    <row r="98" spans="1:5">
      <c r="A98" s="1">
        <v>93</v>
      </c>
      <c r="C98" s="1">
        <v>1</v>
      </c>
      <c r="D98" s="1">
        <v>93</v>
      </c>
      <c r="E98" s="1">
        <v>1250</v>
      </c>
    </row>
    <row r="99" spans="1:5">
      <c r="A99" s="1">
        <v>94</v>
      </c>
      <c r="C99" s="1">
        <v>1</v>
      </c>
      <c r="D99" s="1">
        <v>94</v>
      </c>
      <c r="E99" s="1">
        <v>1250</v>
      </c>
    </row>
    <row r="100" spans="1:5">
      <c r="A100" s="1">
        <v>95</v>
      </c>
      <c r="C100" s="1">
        <v>1</v>
      </c>
      <c r="D100" s="1">
        <v>95</v>
      </c>
      <c r="E100" s="1">
        <v>1250</v>
      </c>
    </row>
    <row r="101" spans="1:5">
      <c r="A101" s="1">
        <v>96</v>
      </c>
      <c r="C101" s="1">
        <v>1</v>
      </c>
      <c r="D101" s="1">
        <v>96</v>
      </c>
      <c r="E101" s="1">
        <v>1250</v>
      </c>
    </row>
    <row r="102" spans="1:5">
      <c r="A102" s="1">
        <v>97</v>
      </c>
      <c r="C102" s="1">
        <v>1</v>
      </c>
      <c r="D102" s="1">
        <v>97</v>
      </c>
      <c r="E102" s="1">
        <v>1300</v>
      </c>
    </row>
    <row r="103" spans="1:5">
      <c r="A103" s="1">
        <v>98</v>
      </c>
      <c r="C103" s="1">
        <v>1</v>
      </c>
      <c r="D103" s="1">
        <v>98</v>
      </c>
      <c r="E103" s="1">
        <v>1300</v>
      </c>
    </row>
    <row r="104" spans="1:5">
      <c r="A104" s="1">
        <v>99</v>
      </c>
      <c r="C104" s="1">
        <v>1</v>
      </c>
      <c r="D104" s="1">
        <v>99</v>
      </c>
      <c r="E104" s="1">
        <v>1300</v>
      </c>
    </row>
    <row r="105" spans="1:5">
      <c r="A105" s="1">
        <v>100</v>
      </c>
      <c r="C105" s="1">
        <v>1</v>
      </c>
      <c r="D105" s="1">
        <v>100</v>
      </c>
      <c r="E105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614"/>
  <sheetViews>
    <sheetView workbookViewId="0">
      <pane xSplit="2" ySplit="4" topLeftCell="C581" activePane="bottomRight" state="frozen"/>
      <selection/>
      <selection pane="topRight"/>
      <selection pane="bottomLeft"/>
      <selection pane="bottomRight" activeCell="F606" sqref="F606"/>
    </sheetView>
  </sheetViews>
  <sheetFormatPr defaultColWidth="9" defaultRowHeight="14.25" outlineLevelCol="4"/>
  <cols>
    <col min="1" max="5" width="9" style="13"/>
    <col min="6" max="16384" width="9" style="12"/>
  </cols>
  <sheetData>
    <row r="1" spans="1:5">
      <c r="A1" s="14" t="s">
        <v>0</v>
      </c>
      <c r="B1" s="14"/>
      <c r="C1" s="14" t="s">
        <v>1031</v>
      </c>
      <c r="D1" s="14" t="s">
        <v>1032</v>
      </c>
      <c r="E1" s="14" t="s">
        <v>1033</v>
      </c>
    </row>
    <row r="2" spans="1:5">
      <c r="A2" s="14" t="s">
        <v>0</v>
      </c>
      <c r="B2" s="14"/>
      <c r="C2" s="14" t="s">
        <v>1034</v>
      </c>
      <c r="D2" s="14" t="s">
        <v>1035</v>
      </c>
      <c r="E2" s="14" t="s">
        <v>1036</v>
      </c>
    </row>
    <row r="3" ht="57" spans="1:5">
      <c r="A3" s="14" t="s">
        <v>1037</v>
      </c>
      <c r="B3" s="14"/>
      <c r="C3" s="14" t="s">
        <v>1038</v>
      </c>
      <c r="D3" s="14" t="s">
        <v>1039</v>
      </c>
      <c r="E3" s="14" t="s">
        <v>1040</v>
      </c>
    </row>
    <row r="4" spans="1:5">
      <c r="A4" s="14" t="s">
        <v>83</v>
      </c>
      <c r="B4" s="14"/>
      <c r="C4" s="14" t="s">
        <v>83</v>
      </c>
      <c r="D4" s="14" t="s">
        <v>83</v>
      </c>
      <c r="E4" s="14" t="s">
        <v>84</v>
      </c>
    </row>
    <row r="5" spans="1:5">
      <c r="A5" s="14" t="s">
        <v>88</v>
      </c>
      <c r="B5" s="14"/>
      <c r="C5" s="14"/>
      <c r="D5" s="14"/>
      <c r="E5" s="14"/>
    </row>
    <row r="6" spans="1:5">
      <c r="A6" s="13" t="s">
        <v>1041</v>
      </c>
      <c r="B6" s="15" t="s">
        <v>89</v>
      </c>
      <c r="C6" s="15">
        <v>3001</v>
      </c>
      <c r="D6" s="13">
        <v>10</v>
      </c>
      <c r="E6" s="13" t="s">
        <v>1042</v>
      </c>
    </row>
    <row r="7" spans="1:5">
      <c r="A7" s="13" t="s">
        <v>1043</v>
      </c>
      <c r="B7" s="15" t="s">
        <v>89</v>
      </c>
      <c r="C7" s="15">
        <v>3001</v>
      </c>
      <c r="D7" s="13">
        <v>20</v>
      </c>
      <c r="E7" s="13" t="s">
        <v>1044</v>
      </c>
    </row>
    <row r="8" spans="1:5">
      <c r="A8" s="13" t="s">
        <v>1045</v>
      </c>
      <c r="B8" s="15" t="s">
        <v>89</v>
      </c>
      <c r="C8" s="15">
        <v>3001</v>
      </c>
      <c r="D8" s="13">
        <v>30</v>
      </c>
      <c r="E8" s="13" t="s">
        <v>1044</v>
      </c>
    </row>
    <row r="9" spans="1:5">
      <c r="A9" s="13" t="s">
        <v>1046</v>
      </c>
      <c r="B9" s="15" t="s">
        <v>89</v>
      </c>
      <c r="C9" s="15">
        <v>3001</v>
      </c>
      <c r="D9" s="13">
        <v>40</v>
      </c>
      <c r="E9" s="13" t="s">
        <v>1044</v>
      </c>
    </row>
    <row r="10" spans="1:5">
      <c r="A10" s="13" t="s">
        <v>1047</v>
      </c>
      <c r="B10" s="15" t="s">
        <v>89</v>
      </c>
      <c r="C10" s="15">
        <v>3001</v>
      </c>
      <c r="D10" s="13">
        <v>50</v>
      </c>
      <c r="E10" s="13" t="s">
        <v>1042</v>
      </c>
    </row>
    <row r="11" spans="1:5">
      <c r="A11" s="13" t="s">
        <v>1048</v>
      </c>
      <c r="B11" s="15" t="s">
        <v>89</v>
      </c>
      <c r="C11" s="15">
        <v>3001</v>
      </c>
      <c r="D11" s="13">
        <v>60</v>
      </c>
      <c r="E11" s="13" t="s">
        <v>1044</v>
      </c>
    </row>
    <row r="12" spans="1:5">
      <c r="A12" s="13" t="s">
        <v>1049</v>
      </c>
      <c r="B12" s="15" t="s">
        <v>89</v>
      </c>
      <c r="C12" s="15">
        <v>3001</v>
      </c>
      <c r="D12" s="13">
        <v>70</v>
      </c>
      <c r="E12" s="13" t="s">
        <v>1044</v>
      </c>
    </row>
    <row r="13" spans="1:5">
      <c r="A13" s="13" t="s">
        <v>1050</v>
      </c>
      <c r="B13" s="15" t="s">
        <v>89</v>
      </c>
      <c r="C13" s="15">
        <v>3001</v>
      </c>
      <c r="D13" s="13">
        <v>80</v>
      </c>
      <c r="E13" s="13" t="s">
        <v>1044</v>
      </c>
    </row>
    <row r="14" spans="1:5">
      <c r="A14" s="13" t="s">
        <v>1051</v>
      </c>
      <c r="B14" s="15" t="s">
        <v>89</v>
      </c>
      <c r="C14" s="15">
        <v>3001</v>
      </c>
      <c r="D14" s="13">
        <v>90</v>
      </c>
      <c r="E14" s="13" t="s">
        <v>1044</v>
      </c>
    </row>
    <row r="15" spans="1:5">
      <c r="A15" s="13" t="s">
        <v>1052</v>
      </c>
      <c r="B15" s="15" t="s">
        <v>89</v>
      </c>
      <c r="C15" s="15">
        <v>3001</v>
      </c>
      <c r="D15" s="13">
        <v>100</v>
      </c>
      <c r="E15" s="13" t="s">
        <v>1044</v>
      </c>
    </row>
    <row r="16" spans="1:5">
      <c r="A16" s="13" t="s">
        <v>1053</v>
      </c>
      <c r="B16" s="15" t="s">
        <v>1054</v>
      </c>
      <c r="C16" s="15">
        <v>3003</v>
      </c>
      <c r="D16" s="13">
        <v>10</v>
      </c>
      <c r="E16" s="13" t="s">
        <v>1042</v>
      </c>
    </row>
    <row r="17" spans="1:5">
      <c r="A17" s="13" t="s">
        <v>1055</v>
      </c>
      <c r="B17" s="15" t="s">
        <v>1054</v>
      </c>
      <c r="C17" s="15">
        <v>3003</v>
      </c>
      <c r="D17" s="13">
        <v>20</v>
      </c>
      <c r="E17" s="13" t="s">
        <v>1044</v>
      </c>
    </row>
    <row r="18" spans="1:5">
      <c r="A18" s="13" t="s">
        <v>1056</v>
      </c>
      <c r="B18" s="15" t="s">
        <v>1054</v>
      </c>
      <c r="C18" s="15">
        <v>3003</v>
      </c>
      <c r="D18" s="13">
        <v>30</v>
      </c>
      <c r="E18" s="13" t="s">
        <v>1044</v>
      </c>
    </row>
    <row r="19" spans="1:5">
      <c r="A19" s="13" t="s">
        <v>1057</v>
      </c>
      <c r="B19" s="15" t="s">
        <v>1054</v>
      </c>
      <c r="C19" s="15">
        <v>3003</v>
      </c>
      <c r="D19" s="13">
        <v>40</v>
      </c>
      <c r="E19" s="13" t="s">
        <v>1044</v>
      </c>
    </row>
    <row r="20" spans="1:5">
      <c r="A20" s="13" t="s">
        <v>1058</v>
      </c>
      <c r="B20" s="15" t="s">
        <v>1054</v>
      </c>
      <c r="C20" s="15">
        <v>3003</v>
      </c>
      <c r="D20" s="13">
        <v>50</v>
      </c>
      <c r="E20" s="13" t="s">
        <v>1042</v>
      </c>
    </row>
    <row r="21" spans="1:5">
      <c r="A21" s="13" t="s">
        <v>1059</v>
      </c>
      <c r="B21" s="15" t="s">
        <v>1054</v>
      </c>
      <c r="C21" s="15">
        <v>3003</v>
      </c>
      <c r="D21" s="13">
        <v>60</v>
      </c>
      <c r="E21" s="13" t="s">
        <v>1044</v>
      </c>
    </row>
    <row r="22" spans="1:5">
      <c r="A22" s="13" t="s">
        <v>1060</v>
      </c>
      <c r="B22" s="15" t="s">
        <v>1054</v>
      </c>
      <c r="C22" s="15">
        <v>3003</v>
      </c>
      <c r="D22" s="13">
        <v>70</v>
      </c>
      <c r="E22" s="13" t="s">
        <v>1044</v>
      </c>
    </row>
    <row r="23" spans="1:5">
      <c r="A23" s="13" t="s">
        <v>1061</v>
      </c>
      <c r="B23" s="15" t="s">
        <v>1054</v>
      </c>
      <c r="C23" s="15">
        <v>3003</v>
      </c>
      <c r="D23" s="13">
        <v>80</v>
      </c>
      <c r="E23" s="13" t="s">
        <v>1044</v>
      </c>
    </row>
    <row r="24" spans="1:5">
      <c r="A24" s="13" t="s">
        <v>1062</v>
      </c>
      <c r="B24" s="15" t="s">
        <v>1054</v>
      </c>
      <c r="C24" s="15">
        <v>3003</v>
      </c>
      <c r="D24" s="13">
        <v>90</v>
      </c>
      <c r="E24" s="13" t="s">
        <v>1044</v>
      </c>
    </row>
    <row r="25" spans="1:5">
      <c r="A25" s="13" t="s">
        <v>1063</v>
      </c>
      <c r="B25" s="15" t="s">
        <v>1054</v>
      </c>
      <c r="C25" s="15">
        <v>3003</v>
      </c>
      <c r="D25" s="13">
        <v>100</v>
      </c>
      <c r="E25" s="13" t="s">
        <v>1044</v>
      </c>
    </row>
    <row r="26" spans="1:5">
      <c r="A26" s="13" t="s">
        <v>1064</v>
      </c>
      <c r="B26" s="15" t="s">
        <v>104</v>
      </c>
      <c r="C26" s="15">
        <v>3004</v>
      </c>
      <c r="D26" s="13">
        <v>10</v>
      </c>
      <c r="E26" s="13" t="s">
        <v>1042</v>
      </c>
    </row>
    <row r="27" spans="1:5">
      <c r="A27" s="13" t="s">
        <v>1065</v>
      </c>
      <c r="B27" s="15" t="s">
        <v>104</v>
      </c>
      <c r="C27" s="15">
        <v>3004</v>
      </c>
      <c r="D27" s="13">
        <v>20</v>
      </c>
      <c r="E27" s="13" t="s">
        <v>1044</v>
      </c>
    </row>
    <row r="28" spans="1:5">
      <c r="A28" s="13" t="s">
        <v>1066</v>
      </c>
      <c r="B28" s="15" t="s">
        <v>104</v>
      </c>
      <c r="C28" s="15">
        <v>3004</v>
      </c>
      <c r="D28" s="13">
        <v>30</v>
      </c>
      <c r="E28" s="13" t="s">
        <v>1044</v>
      </c>
    </row>
    <row r="29" spans="1:5">
      <c r="A29" s="13" t="s">
        <v>1067</v>
      </c>
      <c r="B29" s="15" t="s">
        <v>104</v>
      </c>
      <c r="C29" s="15">
        <v>3004</v>
      </c>
      <c r="D29" s="13">
        <v>40</v>
      </c>
      <c r="E29" s="13" t="s">
        <v>1044</v>
      </c>
    </row>
    <row r="30" spans="1:5">
      <c r="A30" s="13" t="s">
        <v>1068</v>
      </c>
      <c r="B30" s="15" t="s">
        <v>104</v>
      </c>
      <c r="C30" s="15">
        <v>3004</v>
      </c>
      <c r="D30" s="13">
        <v>50</v>
      </c>
      <c r="E30" s="13" t="s">
        <v>1042</v>
      </c>
    </row>
    <row r="31" spans="1:5">
      <c r="A31" s="13" t="s">
        <v>1069</v>
      </c>
      <c r="B31" s="15" t="s">
        <v>104</v>
      </c>
      <c r="C31" s="15">
        <v>3004</v>
      </c>
      <c r="D31" s="13">
        <v>60</v>
      </c>
      <c r="E31" s="13" t="s">
        <v>1044</v>
      </c>
    </row>
    <row r="32" spans="1:5">
      <c r="A32" s="13" t="s">
        <v>1070</v>
      </c>
      <c r="B32" s="15" t="s">
        <v>104</v>
      </c>
      <c r="C32" s="15">
        <v>3004</v>
      </c>
      <c r="D32" s="13">
        <v>70</v>
      </c>
      <c r="E32" s="13" t="s">
        <v>1044</v>
      </c>
    </row>
    <row r="33" spans="1:5">
      <c r="A33" s="13" t="s">
        <v>1071</v>
      </c>
      <c r="B33" s="15" t="s">
        <v>104</v>
      </c>
      <c r="C33" s="15">
        <v>3004</v>
      </c>
      <c r="D33" s="13">
        <v>80</v>
      </c>
      <c r="E33" s="13" t="s">
        <v>1044</v>
      </c>
    </row>
    <row r="34" spans="1:5">
      <c r="A34" s="13" t="s">
        <v>1072</v>
      </c>
      <c r="B34" s="15" t="s">
        <v>104</v>
      </c>
      <c r="C34" s="15">
        <v>3004</v>
      </c>
      <c r="D34" s="13">
        <v>90</v>
      </c>
      <c r="E34" s="13" t="s">
        <v>1044</v>
      </c>
    </row>
    <row r="35" spans="1:5">
      <c r="A35" s="13" t="s">
        <v>1073</v>
      </c>
      <c r="B35" s="15" t="s">
        <v>104</v>
      </c>
      <c r="C35" s="15">
        <v>3004</v>
      </c>
      <c r="D35" s="13">
        <v>100</v>
      </c>
      <c r="E35" s="13" t="s">
        <v>1044</v>
      </c>
    </row>
    <row r="36" spans="1:5">
      <c r="A36" s="13" t="s">
        <v>1074</v>
      </c>
      <c r="B36" s="15" t="s">
        <v>109</v>
      </c>
      <c r="C36" s="15">
        <v>3006</v>
      </c>
      <c r="D36" s="13">
        <v>10</v>
      </c>
      <c r="E36" s="13" t="s">
        <v>1042</v>
      </c>
    </row>
    <row r="37" spans="1:5">
      <c r="A37" s="13" t="s">
        <v>1075</v>
      </c>
      <c r="B37" s="15" t="s">
        <v>109</v>
      </c>
      <c r="C37" s="15">
        <v>3006</v>
      </c>
      <c r="D37" s="13">
        <v>20</v>
      </c>
      <c r="E37" s="13" t="s">
        <v>1044</v>
      </c>
    </row>
    <row r="38" spans="1:5">
      <c r="A38" s="13" t="s">
        <v>1076</v>
      </c>
      <c r="B38" s="15" t="s">
        <v>109</v>
      </c>
      <c r="C38" s="15">
        <v>3006</v>
      </c>
      <c r="D38" s="13">
        <v>30</v>
      </c>
      <c r="E38" s="13" t="s">
        <v>1044</v>
      </c>
    </row>
    <row r="39" spans="1:5">
      <c r="A39" s="13" t="s">
        <v>1077</v>
      </c>
      <c r="B39" s="15" t="s">
        <v>109</v>
      </c>
      <c r="C39" s="15">
        <v>3006</v>
      </c>
      <c r="D39" s="13">
        <v>40</v>
      </c>
      <c r="E39" s="13" t="s">
        <v>1044</v>
      </c>
    </row>
    <row r="40" spans="1:5">
      <c r="A40" s="13" t="s">
        <v>1078</v>
      </c>
      <c r="B40" s="15" t="s">
        <v>109</v>
      </c>
      <c r="C40" s="15">
        <v>3006</v>
      </c>
      <c r="D40" s="13">
        <v>50</v>
      </c>
      <c r="E40" s="13" t="s">
        <v>1042</v>
      </c>
    </row>
    <row r="41" spans="1:5">
      <c r="A41" s="13" t="s">
        <v>1079</v>
      </c>
      <c r="B41" s="15" t="s">
        <v>109</v>
      </c>
      <c r="C41" s="15">
        <v>3006</v>
      </c>
      <c r="D41" s="13">
        <v>60</v>
      </c>
      <c r="E41" s="13" t="s">
        <v>1044</v>
      </c>
    </row>
    <row r="42" spans="1:5">
      <c r="A42" s="13" t="s">
        <v>1080</v>
      </c>
      <c r="B42" s="15" t="s">
        <v>109</v>
      </c>
      <c r="C42" s="15">
        <v>3006</v>
      </c>
      <c r="D42" s="13">
        <v>70</v>
      </c>
      <c r="E42" s="13" t="s">
        <v>1044</v>
      </c>
    </row>
    <row r="43" spans="1:5">
      <c r="A43" s="13" t="s">
        <v>1081</v>
      </c>
      <c r="B43" s="15" t="s">
        <v>109</v>
      </c>
      <c r="C43" s="15">
        <v>3006</v>
      </c>
      <c r="D43" s="13">
        <v>80</v>
      </c>
      <c r="E43" s="13" t="s">
        <v>1044</v>
      </c>
    </row>
    <row r="44" spans="1:5">
      <c r="A44" s="13" t="s">
        <v>1082</v>
      </c>
      <c r="B44" s="15" t="s">
        <v>109</v>
      </c>
      <c r="C44" s="15">
        <v>3006</v>
      </c>
      <c r="D44" s="13">
        <v>90</v>
      </c>
      <c r="E44" s="13" t="s">
        <v>1044</v>
      </c>
    </row>
    <row r="45" spans="1:5">
      <c r="A45" s="13" t="s">
        <v>1083</v>
      </c>
      <c r="B45" s="15" t="s">
        <v>109</v>
      </c>
      <c r="C45" s="15">
        <v>3006</v>
      </c>
      <c r="D45" s="13">
        <v>100</v>
      </c>
      <c r="E45" s="13" t="s">
        <v>1044</v>
      </c>
    </row>
    <row r="46" spans="1:5">
      <c r="A46" s="13" t="s">
        <v>1084</v>
      </c>
      <c r="B46" s="15" t="s">
        <v>114</v>
      </c>
      <c r="C46" s="15">
        <v>3008</v>
      </c>
      <c r="D46" s="13">
        <v>10</v>
      </c>
      <c r="E46" s="13" t="s">
        <v>1042</v>
      </c>
    </row>
    <row r="47" spans="1:5">
      <c r="A47" s="13" t="s">
        <v>1085</v>
      </c>
      <c r="B47" s="15" t="s">
        <v>114</v>
      </c>
      <c r="C47" s="15">
        <v>3008</v>
      </c>
      <c r="D47" s="13">
        <v>20</v>
      </c>
      <c r="E47" s="13" t="s">
        <v>1044</v>
      </c>
    </row>
    <row r="48" spans="1:5">
      <c r="A48" s="13" t="s">
        <v>1086</v>
      </c>
      <c r="B48" s="15" t="s">
        <v>114</v>
      </c>
      <c r="C48" s="15">
        <v>3008</v>
      </c>
      <c r="D48" s="13">
        <v>30</v>
      </c>
      <c r="E48" s="13" t="s">
        <v>1044</v>
      </c>
    </row>
    <row r="49" spans="1:5">
      <c r="A49" s="13" t="s">
        <v>1087</v>
      </c>
      <c r="B49" s="15" t="s">
        <v>114</v>
      </c>
      <c r="C49" s="15">
        <v>3008</v>
      </c>
      <c r="D49" s="13">
        <v>40</v>
      </c>
      <c r="E49" s="13" t="s">
        <v>1044</v>
      </c>
    </row>
    <row r="50" spans="1:5">
      <c r="A50" s="13" t="s">
        <v>1088</v>
      </c>
      <c r="B50" s="15" t="s">
        <v>114</v>
      </c>
      <c r="C50" s="15">
        <v>3008</v>
      </c>
      <c r="D50" s="13">
        <v>50</v>
      </c>
      <c r="E50" s="13" t="s">
        <v>1042</v>
      </c>
    </row>
    <row r="51" spans="1:5">
      <c r="A51" s="13" t="s">
        <v>1089</v>
      </c>
      <c r="B51" s="15" t="s">
        <v>114</v>
      </c>
      <c r="C51" s="15">
        <v>3008</v>
      </c>
      <c r="D51" s="13">
        <v>60</v>
      </c>
      <c r="E51" s="13" t="s">
        <v>1044</v>
      </c>
    </row>
    <row r="52" spans="1:5">
      <c r="A52" s="13" t="s">
        <v>1090</v>
      </c>
      <c r="B52" s="15" t="s">
        <v>114</v>
      </c>
      <c r="C52" s="15">
        <v>3008</v>
      </c>
      <c r="D52" s="13">
        <v>70</v>
      </c>
      <c r="E52" s="13" t="s">
        <v>1044</v>
      </c>
    </row>
    <row r="53" spans="1:5">
      <c r="A53" s="13" t="s">
        <v>1091</v>
      </c>
      <c r="B53" s="15" t="s">
        <v>114</v>
      </c>
      <c r="C53" s="15">
        <v>3008</v>
      </c>
      <c r="D53" s="13">
        <v>80</v>
      </c>
      <c r="E53" s="13" t="s">
        <v>1044</v>
      </c>
    </row>
    <row r="54" spans="1:5">
      <c r="A54" s="13" t="s">
        <v>1092</v>
      </c>
      <c r="B54" s="15" t="s">
        <v>114</v>
      </c>
      <c r="C54" s="15">
        <v>3008</v>
      </c>
      <c r="D54" s="13">
        <v>90</v>
      </c>
      <c r="E54" s="13" t="s">
        <v>1044</v>
      </c>
    </row>
    <row r="55" spans="1:5">
      <c r="A55" s="13" t="s">
        <v>1093</v>
      </c>
      <c r="B55" s="15" t="s">
        <v>114</v>
      </c>
      <c r="C55" s="15">
        <v>3008</v>
      </c>
      <c r="D55" s="13">
        <v>100</v>
      </c>
      <c r="E55" s="13" t="s">
        <v>1044</v>
      </c>
    </row>
    <row r="56" spans="1:5">
      <c r="A56" s="13" t="s">
        <v>1094</v>
      </c>
      <c r="B56" s="15" t="s">
        <v>118</v>
      </c>
      <c r="C56" s="15">
        <v>3009</v>
      </c>
      <c r="D56" s="13">
        <v>10</v>
      </c>
      <c r="E56" s="13" t="s">
        <v>1042</v>
      </c>
    </row>
    <row r="57" spans="1:5">
      <c r="A57" s="13" t="s">
        <v>1095</v>
      </c>
      <c r="B57" s="15" t="s">
        <v>118</v>
      </c>
      <c r="C57" s="15">
        <v>3009</v>
      </c>
      <c r="D57" s="13">
        <v>20</v>
      </c>
      <c r="E57" s="13" t="s">
        <v>1044</v>
      </c>
    </row>
    <row r="58" spans="1:5">
      <c r="A58" s="13" t="s">
        <v>1096</v>
      </c>
      <c r="B58" s="15" t="s">
        <v>118</v>
      </c>
      <c r="C58" s="15">
        <v>3009</v>
      </c>
      <c r="D58" s="13">
        <v>30</v>
      </c>
      <c r="E58" s="13" t="s">
        <v>1044</v>
      </c>
    </row>
    <row r="59" spans="1:5">
      <c r="A59" s="13" t="s">
        <v>1097</v>
      </c>
      <c r="B59" s="15" t="s">
        <v>118</v>
      </c>
      <c r="C59" s="15">
        <v>3009</v>
      </c>
      <c r="D59" s="13">
        <v>40</v>
      </c>
      <c r="E59" s="13" t="s">
        <v>1044</v>
      </c>
    </row>
    <row r="60" spans="1:5">
      <c r="A60" s="13" t="s">
        <v>1098</v>
      </c>
      <c r="B60" s="15" t="s">
        <v>118</v>
      </c>
      <c r="C60" s="15">
        <v>3009</v>
      </c>
      <c r="D60" s="13">
        <v>50</v>
      </c>
      <c r="E60" s="13" t="s">
        <v>1042</v>
      </c>
    </row>
    <row r="61" spans="1:5">
      <c r="A61" s="13" t="s">
        <v>1099</v>
      </c>
      <c r="B61" s="15" t="s">
        <v>118</v>
      </c>
      <c r="C61" s="15">
        <v>3009</v>
      </c>
      <c r="D61" s="13">
        <v>60</v>
      </c>
      <c r="E61" s="13" t="s">
        <v>1044</v>
      </c>
    </row>
    <row r="62" spans="1:5">
      <c r="A62" s="13" t="s">
        <v>1100</v>
      </c>
      <c r="B62" s="15" t="s">
        <v>118</v>
      </c>
      <c r="C62" s="15">
        <v>3009</v>
      </c>
      <c r="D62" s="13">
        <v>70</v>
      </c>
      <c r="E62" s="13" t="s">
        <v>1044</v>
      </c>
    </row>
    <row r="63" spans="1:5">
      <c r="A63" s="13" t="s">
        <v>1101</v>
      </c>
      <c r="B63" s="15" t="s">
        <v>118</v>
      </c>
      <c r="C63" s="15">
        <v>3009</v>
      </c>
      <c r="D63" s="13">
        <v>80</v>
      </c>
      <c r="E63" s="13" t="s">
        <v>1044</v>
      </c>
    </row>
    <row r="64" spans="1:5">
      <c r="A64" s="13" t="s">
        <v>1102</v>
      </c>
      <c r="B64" s="15" t="s">
        <v>118</v>
      </c>
      <c r="C64" s="15">
        <v>3009</v>
      </c>
      <c r="D64" s="13">
        <v>90</v>
      </c>
      <c r="E64" s="13" t="s">
        <v>1044</v>
      </c>
    </row>
    <row r="65" spans="1:5">
      <c r="A65" s="13" t="s">
        <v>1103</v>
      </c>
      <c r="B65" s="15" t="s">
        <v>118</v>
      </c>
      <c r="C65" s="15">
        <v>3009</v>
      </c>
      <c r="D65" s="13">
        <v>100</v>
      </c>
      <c r="E65" s="13" t="s">
        <v>1044</v>
      </c>
    </row>
    <row r="66" spans="1:5">
      <c r="A66" s="13" t="s">
        <v>1104</v>
      </c>
      <c r="B66" s="15" t="s">
        <v>123</v>
      </c>
      <c r="C66" s="15">
        <v>3011</v>
      </c>
      <c r="D66" s="13">
        <v>10</v>
      </c>
      <c r="E66" s="13" t="s">
        <v>1042</v>
      </c>
    </row>
    <row r="67" spans="1:5">
      <c r="A67" s="13" t="s">
        <v>1105</v>
      </c>
      <c r="B67" s="15" t="s">
        <v>123</v>
      </c>
      <c r="C67" s="15">
        <v>3011</v>
      </c>
      <c r="D67" s="13">
        <v>20</v>
      </c>
      <c r="E67" s="13" t="s">
        <v>1044</v>
      </c>
    </row>
    <row r="68" spans="1:5">
      <c r="A68" s="13" t="s">
        <v>1106</v>
      </c>
      <c r="B68" s="15" t="s">
        <v>123</v>
      </c>
      <c r="C68" s="15">
        <v>3011</v>
      </c>
      <c r="D68" s="13">
        <v>30</v>
      </c>
      <c r="E68" s="13" t="s">
        <v>1044</v>
      </c>
    </row>
    <row r="69" spans="1:5">
      <c r="A69" s="13" t="s">
        <v>1107</v>
      </c>
      <c r="B69" s="15" t="s">
        <v>123</v>
      </c>
      <c r="C69" s="15">
        <v>3011</v>
      </c>
      <c r="D69" s="13">
        <v>40</v>
      </c>
      <c r="E69" s="13" t="s">
        <v>1044</v>
      </c>
    </row>
    <row r="70" spans="1:5">
      <c r="A70" s="13" t="s">
        <v>1108</v>
      </c>
      <c r="B70" s="15" t="s">
        <v>123</v>
      </c>
      <c r="C70" s="15">
        <v>3011</v>
      </c>
      <c r="D70" s="13">
        <v>50</v>
      </c>
      <c r="E70" s="13" t="s">
        <v>1042</v>
      </c>
    </row>
    <row r="71" spans="1:5">
      <c r="A71" s="13" t="s">
        <v>1109</v>
      </c>
      <c r="B71" s="15" t="s">
        <v>123</v>
      </c>
      <c r="C71" s="15">
        <v>3011</v>
      </c>
      <c r="D71" s="13">
        <v>60</v>
      </c>
      <c r="E71" s="13" t="s">
        <v>1044</v>
      </c>
    </row>
    <row r="72" spans="1:5">
      <c r="A72" s="13" t="s">
        <v>1110</v>
      </c>
      <c r="B72" s="15" t="s">
        <v>123</v>
      </c>
      <c r="C72" s="15">
        <v>3011</v>
      </c>
      <c r="D72" s="13">
        <v>70</v>
      </c>
      <c r="E72" s="13" t="s">
        <v>1044</v>
      </c>
    </row>
    <row r="73" spans="1:5">
      <c r="A73" s="13" t="s">
        <v>1111</v>
      </c>
      <c r="B73" s="15" t="s">
        <v>123</v>
      </c>
      <c r="C73" s="15">
        <v>3011</v>
      </c>
      <c r="D73" s="13">
        <v>80</v>
      </c>
      <c r="E73" s="13" t="s">
        <v>1044</v>
      </c>
    </row>
    <row r="74" spans="1:5">
      <c r="A74" s="13" t="s">
        <v>1112</v>
      </c>
      <c r="B74" s="15" t="s">
        <v>123</v>
      </c>
      <c r="C74" s="15">
        <v>3011</v>
      </c>
      <c r="D74" s="13">
        <v>90</v>
      </c>
      <c r="E74" s="13" t="s">
        <v>1044</v>
      </c>
    </row>
    <row r="75" spans="1:5">
      <c r="A75" s="13" t="s">
        <v>1113</v>
      </c>
      <c r="B75" s="15" t="s">
        <v>123</v>
      </c>
      <c r="C75" s="15">
        <v>3011</v>
      </c>
      <c r="D75" s="13">
        <v>100</v>
      </c>
      <c r="E75" s="13" t="s">
        <v>1044</v>
      </c>
    </row>
    <row r="76" spans="1:5">
      <c r="A76" s="13" t="s">
        <v>1114</v>
      </c>
      <c r="B76" s="15" t="s">
        <v>129</v>
      </c>
      <c r="C76" s="15">
        <v>3012</v>
      </c>
      <c r="D76" s="13">
        <v>10</v>
      </c>
      <c r="E76" s="13" t="s">
        <v>1042</v>
      </c>
    </row>
    <row r="77" spans="1:5">
      <c r="A77" s="13" t="s">
        <v>1115</v>
      </c>
      <c r="B77" s="15" t="s">
        <v>129</v>
      </c>
      <c r="C77" s="15">
        <v>3012</v>
      </c>
      <c r="D77" s="13">
        <v>20</v>
      </c>
      <c r="E77" s="13" t="s">
        <v>1044</v>
      </c>
    </row>
    <row r="78" spans="1:5">
      <c r="A78" s="13" t="s">
        <v>1116</v>
      </c>
      <c r="B78" s="15" t="s">
        <v>129</v>
      </c>
      <c r="C78" s="15">
        <v>3012</v>
      </c>
      <c r="D78" s="13">
        <v>30</v>
      </c>
      <c r="E78" s="13" t="s">
        <v>1044</v>
      </c>
    </row>
    <row r="79" spans="1:5">
      <c r="A79" s="13" t="s">
        <v>1117</v>
      </c>
      <c r="B79" s="15" t="s">
        <v>129</v>
      </c>
      <c r="C79" s="15">
        <v>3012</v>
      </c>
      <c r="D79" s="13">
        <v>40</v>
      </c>
      <c r="E79" s="13" t="s">
        <v>1044</v>
      </c>
    </row>
    <row r="80" spans="1:5">
      <c r="A80" s="13" t="s">
        <v>1118</v>
      </c>
      <c r="B80" s="15" t="s">
        <v>129</v>
      </c>
      <c r="C80" s="15">
        <v>3012</v>
      </c>
      <c r="D80" s="13">
        <v>50</v>
      </c>
      <c r="E80" s="13" t="s">
        <v>1042</v>
      </c>
    </row>
    <row r="81" spans="1:5">
      <c r="A81" s="13" t="s">
        <v>1119</v>
      </c>
      <c r="B81" s="15" t="s">
        <v>129</v>
      </c>
      <c r="C81" s="15">
        <v>3012</v>
      </c>
      <c r="D81" s="13">
        <v>60</v>
      </c>
      <c r="E81" s="13" t="s">
        <v>1044</v>
      </c>
    </row>
    <row r="82" spans="1:5">
      <c r="A82" s="13" t="s">
        <v>1120</v>
      </c>
      <c r="B82" s="15" t="s">
        <v>129</v>
      </c>
      <c r="C82" s="15">
        <v>3012</v>
      </c>
      <c r="D82" s="13">
        <v>70</v>
      </c>
      <c r="E82" s="13" t="s">
        <v>1044</v>
      </c>
    </row>
    <row r="83" spans="1:5">
      <c r="A83" s="13" t="s">
        <v>1121</v>
      </c>
      <c r="B83" s="15" t="s">
        <v>129</v>
      </c>
      <c r="C83" s="15">
        <v>3012</v>
      </c>
      <c r="D83" s="13">
        <v>80</v>
      </c>
      <c r="E83" s="13" t="s">
        <v>1044</v>
      </c>
    </row>
    <row r="84" spans="1:5">
      <c r="A84" s="13" t="s">
        <v>1122</v>
      </c>
      <c r="B84" s="15" t="s">
        <v>129</v>
      </c>
      <c r="C84" s="15">
        <v>3012</v>
      </c>
      <c r="D84" s="13">
        <v>90</v>
      </c>
      <c r="E84" s="13" t="s">
        <v>1044</v>
      </c>
    </row>
    <row r="85" spans="1:5">
      <c r="A85" s="13" t="s">
        <v>1123</v>
      </c>
      <c r="B85" s="15" t="s">
        <v>129</v>
      </c>
      <c r="C85" s="15">
        <v>3012</v>
      </c>
      <c r="D85" s="13">
        <v>100</v>
      </c>
      <c r="E85" s="13" t="s">
        <v>1044</v>
      </c>
    </row>
    <row r="86" spans="1:5">
      <c r="A86" s="13" t="s">
        <v>1124</v>
      </c>
      <c r="B86" s="15" t="s">
        <v>136</v>
      </c>
      <c r="C86" s="15">
        <v>3014</v>
      </c>
      <c r="D86" s="13">
        <v>10</v>
      </c>
      <c r="E86" s="13" t="s">
        <v>1042</v>
      </c>
    </row>
    <row r="87" spans="1:5">
      <c r="A87" s="13" t="s">
        <v>1125</v>
      </c>
      <c r="B87" s="15" t="s">
        <v>136</v>
      </c>
      <c r="C87" s="15">
        <v>3014</v>
      </c>
      <c r="D87" s="13">
        <v>20</v>
      </c>
      <c r="E87" s="13" t="s">
        <v>1044</v>
      </c>
    </row>
    <row r="88" spans="1:5">
      <c r="A88" s="13" t="s">
        <v>1126</v>
      </c>
      <c r="B88" s="15" t="s">
        <v>136</v>
      </c>
      <c r="C88" s="15">
        <v>3014</v>
      </c>
      <c r="D88" s="13">
        <v>30</v>
      </c>
      <c r="E88" s="13" t="s">
        <v>1044</v>
      </c>
    </row>
    <row r="89" spans="1:5">
      <c r="A89" s="13" t="s">
        <v>1127</v>
      </c>
      <c r="B89" s="15" t="s">
        <v>136</v>
      </c>
      <c r="C89" s="15">
        <v>3014</v>
      </c>
      <c r="D89" s="13">
        <v>40</v>
      </c>
      <c r="E89" s="13" t="s">
        <v>1044</v>
      </c>
    </row>
    <row r="90" spans="1:5">
      <c r="A90" s="13" t="s">
        <v>1128</v>
      </c>
      <c r="B90" s="15" t="s">
        <v>136</v>
      </c>
      <c r="C90" s="15">
        <v>3014</v>
      </c>
      <c r="D90" s="13">
        <v>50</v>
      </c>
      <c r="E90" s="13" t="s">
        <v>1042</v>
      </c>
    </row>
    <row r="91" spans="1:5">
      <c r="A91" s="13" t="s">
        <v>1129</v>
      </c>
      <c r="B91" s="15" t="s">
        <v>136</v>
      </c>
      <c r="C91" s="15">
        <v>3014</v>
      </c>
      <c r="D91" s="13">
        <v>60</v>
      </c>
      <c r="E91" s="13" t="s">
        <v>1044</v>
      </c>
    </row>
    <row r="92" spans="1:5">
      <c r="A92" s="13" t="s">
        <v>1130</v>
      </c>
      <c r="B92" s="15" t="s">
        <v>136</v>
      </c>
      <c r="C92" s="15">
        <v>3014</v>
      </c>
      <c r="D92" s="13">
        <v>70</v>
      </c>
      <c r="E92" s="13" t="s">
        <v>1044</v>
      </c>
    </row>
    <row r="93" spans="1:5">
      <c r="A93" s="13" t="s">
        <v>1131</v>
      </c>
      <c r="B93" s="15" t="s">
        <v>136</v>
      </c>
      <c r="C93" s="15">
        <v>3014</v>
      </c>
      <c r="D93" s="13">
        <v>80</v>
      </c>
      <c r="E93" s="13" t="s">
        <v>1044</v>
      </c>
    </row>
    <row r="94" spans="1:5">
      <c r="A94" s="13" t="s">
        <v>1132</v>
      </c>
      <c r="B94" s="15" t="s">
        <v>136</v>
      </c>
      <c r="C94" s="15">
        <v>3014</v>
      </c>
      <c r="D94" s="13">
        <v>90</v>
      </c>
      <c r="E94" s="13" t="s">
        <v>1044</v>
      </c>
    </row>
    <row r="95" spans="1:5">
      <c r="A95" s="13" t="s">
        <v>1133</v>
      </c>
      <c r="B95" s="15" t="s">
        <v>136</v>
      </c>
      <c r="C95" s="15">
        <v>3014</v>
      </c>
      <c r="D95" s="13">
        <v>100</v>
      </c>
      <c r="E95" s="13" t="s">
        <v>1044</v>
      </c>
    </row>
    <row r="96" spans="1:5">
      <c r="A96" s="13" t="s">
        <v>1134</v>
      </c>
      <c r="B96" s="15" t="s">
        <v>312</v>
      </c>
      <c r="C96" s="15">
        <v>3015</v>
      </c>
      <c r="D96" s="13">
        <v>10</v>
      </c>
      <c r="E96" s="13" t="s">
        <v>1042</v>
      </c>
    </row>
    <row r="97" spans="1:5">
      <c r="A97" s="13" t="s">
        <v>1135</v>
      </c>
      <c r="B97" s="15" t="s">
        <v>312</v>
      </c>
      <c r="C97" s="15">
        <v>3015</v>
      </c>
      <c r="D97" s="13">
        <v>20</v>
      </c>
      <c r="E97" s="13" t="s">
        <v>1044</v>
      </c>
    </row>
    <row r="98" spans="1:5">
      <c r="A98" s="13" t="s">
        <v>1136</v>
      </c>
      <c r="B98" s="15" t="s">
        <v>312</v>
      </c>
      <c r="C98" s="15">
        <v>3015</v>
      </c>
      <c r="D98" s="13">
        <v>30</v>
      </c>
      <c r="E98" s="13" t="s">
        <v>1044</v>
      </c>
    </row>
    <row r="99" spans="1:5">
      <c r="A99" s="13" t="s">
        <v>1137</v>
      </c>
      <c r="B99" s="15" t="s">
        <v>312</v>
      </c>
      <c r="C99" s="15">
        <v>3015</v>
      </c>
      <c r="D99" s="13">
        <v>40</v>
      </c>
      <c r="E99" s="13" t="s">
        <v>1044</v>
      </c>
    </row>
    <row r="100" spans="1:5">
      <c r="A100" s="13" t="s">
        <v>1138</v>
      </c>
      <c r="B100" s="15" t="s">
        <v>312</v>
      </c>
      <c r="C100" s="15">
        <v>3015</v>
      </c>
      <c r="D100" s="13">
        <v>50</v>
      </c>
      <c r="E100" s="13" t="s">
        <v>1042</v>
      </c>
    </row>
    <row r="101" spans="1:5">
      <c r="A101" s="13" t="s">
        <v>1139</v>
      </c>
      <c r="B101" s="15" t="s">
        <v>312</v>
      </c>
      <c r="C101" s="15">
        <v>3015</v>
      </c>
      <c r="D101" s="13">
        <v>60</v>
      </c>
      <c r="E101" s="13" t="s">
        <v>1044</v>
      </c>
    </row>
    <row r="102" spans="1:5">
      <c r="A102" s="13" t="s">
        <v>1140</v>
      </c>
      <c r="B102" s="15" t="s">
        <v>312</v>
      </c>
      <c r="C102" s="15">
        <v>3015</v>
      </c>
      <c r="D102" s="13">
        <v>70</v>
      </c>
      <c r="E102" s="13" t="s">
        <v>1044</v>
      </c>
    </row>
    <row r="103" spans="1:5">
      <c r="A103" s="13" t="s">
        <v>1141</v>
      </c>
      <c r="B103" s="15" t="s">
        <v>312</v>
      </c>
      <c r="C103" s="15">
        <v>3015</v>
      </c>
      <c r="D103" s="13">
        <v>80</v>
      </c>
      <c r="E103" s="13" t="s">
        <v>1044</v>
      </c>
    </row>
    <row r="104" spans="1:5">
      <c r="A104" s="13" t="s">
        <v>1142</v>
      </c>
      <c r="B104" s="15" t="s">
        <v>312</v>
      </c>
      <c r="C104" s="15">
        <v>3015</v>
      </c>
      <c r="D104" s="13">
        <v>90</v>
      </c>
      <c r="E104" s="13" t="s">
        <v>1044</v>
      </c>
    </row>
    <row r="105" spans="1:5">
      <c r="A105" s="13" t="s">
        <v>1143</v>
      </c>
      <c r="B105" s="15" t="s">
        <v>312</v>
      </c>
      <c r="C105" s="15">
        <v>3015</v>
      </c>
      <c r="D105" s="13">
        <v>100</v>
      </c>
      <c r="E105" s="13" t="s">
        <v>1044</v>
      </c>
    </row>
    <row r="106" spans="1:5">
      <c r="A106" s="13" t="s">
        <v>1144</v>
      </c>
      <c r="B106" s="15" t="s">
        <v>147</v>
      </c>
      <c r="C106" s="15">
        <v>3016</v>
      </c>
      <c r="D106" s="13">
        <v>10</v>
      </c>
      <c r="E106" s="13" t="s">
        <v>1042</v>
      </c>
    </row>
    <row r="107" spans="1:5">
      <c r="A107" s="13" t="s">
        <v>1145</v>
      </c>
      <c r="B107" s="15" t="s">
        <v>147</v>
      </c>
      <c r="C107" s="15">
        <v>3016</v>
      </c>
      <c r="D107" s="13">
        <v>20</v>
      </c>
      <c r="E107" s="13" t="s">
        <v>1044</v>
      </c>
    </row>
    <row r="108" spans="1:5">
      <c r="A108" s="13" t="s">
        <v>1146</v>
      </c>
      <c r="B108" s="15" t="s">
        <v>147</v>
      </c>
      <c r="C108" s="15">
        <v>3016</v>
      </c>
      <c r="D108" s="13">
        <v>30</v>
      </c>
      <c r="E108" s="13" t="s">
        <v>1044</v>
      </c>
    </row>
    <row r="109" spans="1:5">
      <c r="A109" s="13" t="s">
        <v>1147</v>
      </c>
      <c r="B109" s="15" t="s">
        <v>147</v>
      </c>
      <c r="C109" s="15">
        <v>3016</v>
      </c>
      <c r="D109" s="13">
        <v>40</v>
      </c>
      <c r="E109" s="13" t="s">
        <v>1044</v>
      </c>
    </row>
    <row r="110" spans="1:5">
      <c r="A110" s="13" t="s">
        <v>1148</v>
      </c>
      <c r="B110" s="15" t="s">
        <v>147</v>
      </c>
      <c r="C110" s="15">
        <v>3016</v>
      </c>
      <c r="D110" s="13">
        <v>50</v>
      </c>
      <c r="E110" s="13" t="s">
        <v>1042</v>
      </c>
    </row>
    <row r="111" spans="1:5">
      <c r="A111" s="13" t="s">
        <v>1149</v>
      </c>
      <c r="B111" s="15" t="s">
        <v>147</v>
      </c>
      <c r="C111" s="15">
        <v>3016</v>
      </c>
      <c r="D111" s="13">
        <v>60</v>
      </c>
      <c r="E111" s="13" t="s">
        <v>1044</v>
      </c>
    </row>
    <row r="112" spans="1:5">
      <c r="A112" s="13" t="s">
        <v>1150</v>
      </c>
      <c r="B112" s="15" t="s">
        <v>147</v>
      </c>
      <c r="C112" s="15">
        <v>3016</v>
      </c>
      <c r="D112" s="13">
        <v>70</v>
      </c>
      <c r="E112" s="13" t="s">
        <v>1044</v>
      </c>
    </row>
    <row r="113" spans="1:5">
      <c r="A113" s="13" t="s">
        <v>1151</v>
      </c>
      <c r="B113" s="15" t="s">
        <v>147</v>
      </c>
      <c r="C113" s="15">
        <v>3016</v>
      </c>
      <c r="D113" s="13">
        <v>80</v>
      </c>
      <c r="E113" s="13" t="s">
        <v>1044</v>
      </c>
    </row>
    <row r="114" spans="1:5">
      <c r="A114" s="13" t="s">
        <v>1152</v>
      </c>
      <c r="B114" s="15" t="s">
        <v>147</v>
      </c>
      <c r="C114" s="15">
        <v>3016</v>
      </c>
      <c r="D114" s="13">
        <v>90</v>
      </c>
      <c r="E114" s="13" t="s">
        <v>1044</v>
      </c>
    </row>
    <row r="115" spans="1:5">
      <c r="A115" s="13" t="s">
        <v>1153</v>
      </c>
      <c r="B115" s="15" t="s">
        <v>147</v>
      </c>
      <c r="C115" s="15">
        <v>3016</v>
      </c>
      <c r="D115" s="13">
        <v>100</v>
      </c>
      <c r="E115" s="13" t="s">
        <v>1044</v>
      </c>
    </row>
    <row r="116" spans="1:5">
      <c r="A116" s="13" t="s">
        <v>1154</v>
      </c>
      <c r="B116" s="15" t="s">
        <v>108</v>
      </c>
      <c r="C116" s="15">
        <v>3017</v>
      </c>
      <c r="D116" s="13">
        <v>10</v>
      </c>
      <c r="E116" s="13" t="s">
        <v>1042</v>
      </c>
    </row>
    <row r="117" spans="1:5">
      <c r="A117" s="13" t="s">
        <v>1155</v>
      </c>
      <c r="B117" s="15" t="s">
        <v>108</v>
      </c>
      <c r="C117" s="15">
        <v>3017</v>
      </c>
      <c r="D117" s="13">
        <v>20</v>
      </c>
      <c r="E117" s="13" t="s">
        <v>1044</v>
      </c>
    </row>
    <row r="118" spans="1:5">
      <c r="A118" s="13" t="s">
        <v>1156</v>
      </c>
      <c r="B118" s="15" t="s">
        <v>108</v>
      </c>
      <c r="C118" s="15">
        <v>3017</v>
      </c>
      <c r="D118" s="13">
        <v>30</v>
      </c>
      <c r="E118" s="13" t="s">
        <v>1044</v>
      </c>
    </row>
    <row r="119" spans="1:5">
      <c r="A119" s="13" t="s">
        <v>1157</v>
      </c>
      <c r="B119" s="15" t="s">
        <v>108</v>
      </c>
      <c r="C119" s="15">
        <v>3017</v>
      </c>
      <c r="D119" s="13">
        <v>40</v>
      </c>
      <c r="E119" s="13" t="s">
        <v>1044</v>
      </c>
    </row>
    <row r="120" spans="1:5">
      <c r="A120" s="13" t="s">
        <v>1158</v>
      </c>
      <c r="B120" s="15" t="s">
        <v>108</v>
      </c>
      <c r="C120" s="15">
        <v>3017</v>
      </c>
      <c r="D120" s="13">
        <v>50</v>
      </c>
      <c r="E120" s="13" t="s">
        <v>1042</v>
      </c>
    </row>
    <row r="121" spans="1:5">
      <c r="A121" s="13" t="s">
        <v>1159</v>
      </c>
      <c r="B121" s="15" t="s">
        <v>108</v>
      </c>
      <c r="C121" s="15">
        <v>3017</v>
      </c>
      <c r="D121" s="13">
        <v>60</v>
      </c>
      <c r="E121" s="13" t="s">
        <v>1044</v>
      </c>
    </row>
    <row r="122" spans="1:5">
      <c r="A122" s="13" t="s">
        <v>1160</v>
      </c>
      <c r="B122" s="15" t="s">
        <v>108</v>
      </c>
      <c r="C122" s="15">
        <v>3017</v>
      </c>
      <c r="D122" s="13">
        <v>70</v>
      </c>
      <c r="E122" s="13" t="s">
        <v>1044</v>
      </c>
    </row>
    <row r="123" spans="1:5">
      <c r="A123" s="13" t="s">
        <v>1161</v>
      </c>
      <c r="B123" s="15" t="s">
        <v>108</v>
      </c>
      <c r="C123" s="15">
        <v>3017</v>
      </c>
      <c r="D123" s="13">
        <v>80</v>
      </c>
      <c r="E123" s="13" t="s">
        <v>1044</v>
      </c>
    </row>
    <row r="124" spans="1:5">
      <c r="A124" s="13" t="s">
        <v>1162</v>
      </c>
      <c r="B124" s="15" t="s">
        <v>108</v>
      </c>
      <c r="C124" s="15">
        <v>3017</v>
      </c>
      <c r="D124" s="13">
        <v>90</v>
      </c>
      <c r="E124" s="13" t="s">
        <v>1044</v>
      </c>
    </row>
    <row r="125" spans="1:5">
      <c r="A125" s="13" t="s">
        <v>1163</v>
      </c>
      <c r="B125" s="15" t="s">
        <v>108</v>
      </c>
      <c r="C125" s="15">
        <v>3017</v>
      </c>
      <c r="D125" s="13">
        <v>100</v>
      </c>
      <c r="E125" s="13" t="s">
        <v>1044</v>
      </c>
    </row>
    <row r="126" spans="1:5">
      <c r="A126" s="13" t="s">
        <v>1164</v>
      </c>
      <c r="B126" s="15" t="s">
        <v>153</v>
      </c>
      <c r="C126" s="15">
        <v>3018</v>
      </c>
      <c r="D126" s="13">
        <v>10</v>
      </c>
      <c r="E126" s="13" t="s">
        <v>1042</v>
      </c>
    </row>
    <row r="127" spans="1:5">
      <c r="A127" s="13" t="s">
        <v>1165</v>
      </c>
      <c r="B127" s="15" t="s">
        <v>153</v>
      </c>
      <c r="C127" s="15">
        <v>3018</v>
      </c>
      <c r="D127" s="13">
        <v>20</v>
      </c>
      <c r="E127" s="13" t="s">
        <v>1044</v>
      </c>
    </row>
    <row r="128" spans="1:5">
      <c r="A128" s="13" t="s">
        <v>1166</v>
      </c>
      <c r="B128" s="15" t="s">
        <v>153</v>
      </c>
      <c r="C128" s="15">
        <v>3018</v>
      </c>
      <c r="D128" s="13">
        <v>30</v>
      </c>
      <c r="E128" s="13" t="s">
        <v>1044</v>
      </c>
    </row>
    <row r="129" spans="1:5">
      <c r="A129" s="13" t="s">
        <v>1167</v>
      </c>
      <c r="B129" s="15" t="s">
        <v>153</v>
      </c>
      <c r="C129" s="15">
        <v>3018</v>
      </c>
      <c r="D129" s="13">
        <v>40</v>
      </c>
      <c r="E129" s="13" t="s">
        <v>1044</v>
      </c>
    </row>
    <row r="130" spans="1:5">
      <c r="A130" s="13" t="s">
        <v>1168</v>
      </c>
      <c r="B130" s="15" t="s">
        <v>153</v>
      </c>
      <c r="C130" s="15">
        <v>3018</v>
      </c>
      <c r="D130" s="13">
        <v>50</v>
      </c>
      <c r="E130" s="13" t="s">
        <v>1042</v>
      </c>
    </row>
    <row r="131" spans="1:5">
      <c r="A131" s="13" t="s">
        <v>1169</v>
      </c>
      <c r="B131" s="15" t="s">
        <v>153</v>
      </c>
      <c r="C131" s="15">
        <v>3018</v>
      </c>
      <c r="D131" s="13">
        <v>60</v>
      </c>
      <c r="E131" s="13" t="s">
        <v>1044</v>
      </c>
    </row>
    <row r="132" spans="1:5">
      <c r="A132" s="13" t="s">
        <v>1170</v>
      </c>
      <c r="B132" s="15" t="s">
        <v>153</v>
      </c>
      <c r="C132" s="15">
        <v>3018</v>
      </c>
      <c r="D132" s="13">
        <v>70</v>
      </c>
      <c r="E132" s="13" t="s">
        <v>1044</v>
      </c>
    </row>
    <row r="133" spans="1:5">
      <c r="A133" s="13" t="s">
        <v>1171</v>
      </c>
      <c r="B133" s="15" t="s">
        <v>153</v>
      </c>
      <c r="C133" s="15">
        <v>3018</v>
      </c>
      <c r="D133" s="13">
        <v>80</v>
      </c>
      <c r="E133" s="13" t="s">
        <v>1044</v>
      </c>
    </row>
    <row r="134" spans="1:5">
      <c r="A134" s="13" t="s">
        <v>1172</v>
      </c>
      <c r="B134" s="15" t="s">
        <v>153</v>
      </c>
      <c r="C134" s="15">
        <v>3018</v>
      </c>
      <c r="D134" s="13">
        <v>90</v>
      </c>
      <c r="E134" s="13" t="s">
        <v>1044</v>
      </c>
    </row>
    <row r="135" spans="1:5">
      <c r="A135" s="13" t="s">
        <v>1173</v>
      </c>
      <c r="B135" s="15" t="s">
        <v>153</v>
      </c>
      <c r="C135" s="15">
        <v>3018</v>
      </c>
      <c r="D135" s="13">
        <v>100</v>
      </c>
      <c r="E135" s="13" t="s">
        <v>1044</v>
      </c>
    </row>
    <row r="136" spans="1:5">
      <c r="A136" s="13" t="s">
        <v>1174</v>
      </c>
      <c r="B136" s="15" t="s">
        <v>157</v>
      </c>
      <c r="C136" s="15">
        <v>3019</v>
      </c>
      <c r="D136" s="13">
        <v>10</v>
      </c>
      <c r="E136" s="13" t="s">
        <v>1042</v>
      </c>
    </row>
    <row r="137" spans="1:5">
      <c r="A137" s="13" t="s">
        <v>1175</v>
      </c>
      <c r="B137" s="15" t="s">
        <v>157</v>
      </c>
      <c r="C137" s="15">
        <v>3019</v>
      </c>
      <c r="D137" s="13">
        <v>20</v>
      </c>
      <c r="E137" s="13" t="s">
        <v>1044</v>
      </c>
    </row>
    <row r="138" spans="1:5">
      <c r="A138" s="13" t="s">
        <v>1176</v>
      </c>
      <c r="B138" s="15" t="s">
        <v>157</v>
      </c>
      <c r="C138" s="15">
        <v>3019</v>
      </c>
      <c r="D138" s="13">
        <v>30</v>
      </c>
      <c r="E138" s="13" t="s">
        <v>1044</v>
      </c>
    </row>
    <row r="139" spans="1:5">
      <c r="A139" s="13" t="s">
        <v>1177</v>
      </c>
      <c r="B139" s="15" t="s">
        <v>157</v>
      </c>
      <c r="C139" s="15">
        <v>3019</v>
      </c>
      <c r="D139" s="13">
        <v>40</v>
      </c>
      <c r="E139" s="13" t="s">
        <v>1044</v>
      </c>
    </row>
    <row r="140" spans="1:5">
      <c r="A140" s="13" t="s">
        <v>1178</v>
      </c>
      <c r="B140" s="15" t="s">
        <v>157</v>
      </c>
      <c r="C140" s="15">
        <v>3019</v>
      </c>
      <c r="D140" s="13">
        <v>50</v>
      </c>
      <c r="E140" s="13" t="s">
        <v>1042</v>
      </c>
    </row>
    <row r="141" spans="1:5">
      <c r="A141" s="13" t="s">
        <v>1179</v>
      </c>
      <c r="B141" s="15" t="s">
        <v>157</v>
      </c>
      <c r="C141" s="15">
        <v>3019</v>
      </c>
      <c r="D141" s="13">
        <v>60</v>
      </c>
      <c r="E141" s="13" t="s">
        <v>1044</v>
      </c>
    </row>
    <row r="142" spans="1:5">
      <c r="A142" s="13" t="s">
        <v>1180</v>
      </c>
      <c r="B142" s="15" t="s">
        <v>157</v>
      </c>
      <c r="C142" s="15">
        <v>3019</v>
      </c>
      <c r="D142" s="13">
        <v>70</v>
      </c>
      <c r="E142" s="13" t="s">
        <v>1044</v>
      </c>
    </row>
    <row r="143" spans="1:5">
      <c r="A143" s="13" t="s">
        <v>1181</v>
      </c>
      <c r="B143" s="15" t="s">
        <v>157</v>
      </c>
      <c r="C143" s="15">
        <v>3019</v>
      </c>
      <c r="D143" s="13">
        <v>80</v>
      </c>
      <c r="E143" s="13" t="s">
        <v>1044</v>
      </c>
    </row>
    <row r="144" spans="1:5">
      <c r="A144" s="13" t="s">
        <v>1182</v>
      </c>
      <c r="B144" s="15" t="s">
        <v>157</v>
      </c>
      <c r="C144" s="15">
        <v>3019</v>
      </c>
      <c r="D144" s="13">
        <v>90</v>
      </c>
      <c r="E144" s="13" t="s">
        <v>1044</v>
      </c>
    </row>
    <row r="145" spans="1:5">
      <c r="A145" s="13" t="s">
        <v>1183</v>
      </c>
      <c r="B145" s="15" t="s">
        <v>157</v>
      </c>
      <c r="C145" s="15">
        <v>3019</v>
      </c>
      <c r="D145" s="13">
        <v>100</v>
      </c>
      <c r="E145" s="13" t="s">
        <v>1044</v>
      </c>
    </row>
    <row r="146" spans="1:5">
      <c r="A146" s="13" t="s">
        <v>1184</v>
      </c>
      <c r="B146" s="15" t="s">
        <v>390</v>
      </c>
      <c r="C146" s="15">
        <v>3020</v>
      </c>
      <c r="D146" s="13">
        <v>10</v>
      </c>
      <c r="E146" s="13" t="s">
        <v>1042</v>
      </c>
    </row>
    <row r="147" spans="1:5">
      <c r="A147" s="13" t="s">
        <v>1185</v>
      </c>
      <c r="B147" s="15" t="s">
        <v>390</v>
      </c>
      <c r="C147" s="15">
        <v>3020</v>
      </c>
      <c r="D147" s="13">
        <v>20</v>
      </c>
      <c r="E147" s="13" t="s">
        <v>1044</v>
      </c>
    </row>
    <row r="148" spans="1:5">
      <c r="A148" s="13" t="s">
        <v>1186</v>
      </c>
      <c r="B148" s="15" t="s">
        <v>390</v>
      </c>
      <c r="C148" s="15">
        <v>3020</v>
      </c>
      <c r="D148" s="13">
        <v>30</v>
      </c>
      <c r="E148" s="13" t="s">
        <v>1044</v>
      </c>
    </row>
    <row r="149" spans="1:5">
      <c r="A149" s="13" t="s">
        <v>1187</v>
      </c>
      <c r="B149" s="15" t="s">
        <v>390</v>
      </c>
      <c r="C149" s="15">
        <v>3020</v>
      </c>
      <c r="D149" s="13">
        <v>40</v>
      </c>
      <c r="E149" s="13" t="s">
        <v>1044</v>
      </c>
    </row>
    <row r="150" spans="1:5">
      <c r="A150" s="13" t="s">
        <v>1188</v>
      </c>
      <c r="B150" s="15" t="s">
        <v>390</v>
      </c>
      <c r="C150" s="15">
        <v>3020</v>
      </c>
      <c r="D150" s="13">
        <v>50</v>
      </c>
      <c r="E150" s="13" t="s">
        <v>1042</v>
      </c>
    </row>
    <row r="151" spans="1:5">
      <c r="A151" s="13" t="s">
        <v>1189</v>
      </c>
      <c r="B151" s="15" t="s">
        <v>390</v>
      </c>
      <c r="C151" s="15">
        <v>3020</v>
      </c>
      <c r="D151" s="13">
        <v>60</v>
      </c>
      <c r="E151" s="13" t="s">
        <v>1044</v>
      </c>
    </row>
    <row r="152" spans="1:5">
      <c r="A152" s="13" t="s">
        <v>1190</v>
      </c>
      <c r="B152" s="15" t="s">
        <v>390</v>
      </c>
      <c r="C152" s="15">
        <v>3020</v>
      </c>
      <c r="D152" s="13">
        <v>70</v>
      </c>
      <c r="E152" s="13" t="s">
        <v>1044</v>
      </c>
    </row>
    <row r="153" spans="1:5">
      <c r="A153" s="13" t="s">
        <v>1191</v>
      </c>
      <c r="B153" s="15" t="s">
        <v>390</v>
      </c>
      <c r="C153" s="15">
        <v>3020</v>
      </c>
      <c r="D153" s="13">
        <v>80</v>
      </c>
      <c r="E153" s="13" t="s">
        <v>1044</v>
      </c>
    </row>
    <row r="154" spans="1:5">
      <c r="A154" s="13" t="s">
        <v>1192</v>
      </c>
      <c r="B154" s="15" t="s">
        <v>390</v>
      </c>
      <c r="C154" s="15">
        <v>3020</v>
      </c>
      <c r="D154" s="13">
        <v>90</v>
      </c>
      <c r="E154" s="13" t="s">
        <v>1044</v>
      </c>
    </row>
    <row r="155" spans="1:5">
      <c r="A155" s="13" t="s">
        <v>1193</v>
      </c>
      <c r="B155" s="15" t="s">
        <v>390</v>
      </c>
      <c r="C155" s="15">
        <v>3020</v>
      </c>
      <c r="D155" s="13">
        <v>100</v>
      </c>
      <c r="E155" s="13" t="s">
        <v>1044</v>
      </c>
    </row>
    <row r="156" spans="1:5">
      <c r="A156" s="13" t="s">
        <v>1194</v>
      </c>
      <c r="B156" s="15" t="s">
        <v>164</v>
      </c>
      <c r="C156" s="15">
        <v>3021</v>
      </c>
      <c r="D156" s="13">
        <v>10</v>
      </c>
      <c r="E156" s="13" t="s">
        <v>1042</v>
      </c>
    </row>
    <row r="157" spans="1:5">
      <c r="A157" s="13" t="s">
        <v>1195</v>
      </c>
      <c r="B157" s="15" t="s">
        <v>164</v>
      </c>
      <c r="C157" s="15">
        <v>3021</v>
      </c>
      <c r="D157" s="13">
        <v>20</v>
      </c>
      <c r="E157" s="13" t="s">
        <v>1044</v>
      </c>
    </row>
    <row r="158" spans="1:5">
      <c r="A158" s="13" t="s">
        <v>1196</v>
      </c>
      <c r="B158" s="15" t="s">
        <v>164</v>
      </c>
      <c r="C158" s="15">
        <v>3021</v>
      </c>
      <c r="D158" s="13">
        <v>30</v>
      </c>
      <c r="E158" s="13" t="s">
        <v>1044</v>
      </c>
    </row>
    <row r="159" spans="1:5">
      <c r="A159" s="13" t="s">
        <v>1197</v>
      </c>
      <c r="B159" s="15" t="s">
        <v>164</v>
      </c>
      <c r="C159" s="15">
        <v>3021</v>
      </c>
      <c r="D159" s="13">
        <v>40</v>
      </c>
      <c r="E159" s="13" t="s">
        <v>1044</v>
      </c>
    </row>
    <row r="160" spans="1:5">
      <c r="A160" s="13" t="s">
        <v>1198</v>
      </c>
      <c r="B160" s="15" t="s">
        <v>164</v>
      </c>
      <c r="C160" s="15">
        <v>3021</v>
      </c>
      <c r="D160" s="13">
        <v>50</v>
      </c>
      <c r="E160" s="13" t="s">
        <v>1042</v>
      </c>
    </row>
    <row r="161" spans="1:5">
      <c r="A161" s="13" t="s">
        <v>1199</v>
      </c>
      <c r="B161" s="15" t="s">
        <v>164</v>
      </c>
      <c r="C161" s="15">
        <v>3021</v>
      </c>
      <c r="D161" s="13">
        <v>60</v>
      </c>
      <c r="E161" s="13" t="s">
        <v>1044</v>
      </c>
    </row>
    <row r="162" spans="1:5">
      <c r="A162" s="13" t="s">
        <v>1200</v>
      </c>
      <c r="B162" s="15" t="s">
        <v>164</v>
      </c>
      <c r="C162" s="15">
        <v>3021</v>
      </c>
      <c r="D162" s="13">
        <v>70</v>
      </c>
      <c r="E162" s="13" t="s">
        <v>1044</v>
      </c>
    </row>
    <row r="163" spans="1:5">
      <c r="A163" s="13" t="s">
        <v>1201</v>
      </c>
      <c r="B163" s="15" t="s">
        <v>164</v>
      </c>
      <c r="C163" s="15">
        <v>3021</v>
      </c>
      <c r="D163" s="13">
        <v>80</v>
      </c>
      <c r="E163" s="13" t="s">
        <v>1044</v>
      </c>
    </row>
    <row r="164" spans="1:5">
      <c r="A164" s="13" t="s">
        <v>1202</v>
      </c>
      <c r="B164" s="15" t="s">
        <v>164</v>
      </c>
      <c r="C164" s="15">
        <v>3021</v>
      </c>
      <c r="D164" s="13">
        <v>90</v>
      </c>
      <c r="E164" s="13" t="s">
        <v>1044</v>
      </c>
    </row>
    <row r="165" spans="1:5">
      <c r="A165" s="13" t="s">
        <v>1203</v>
      </c>
      <c r="B165" s="15" t="s">
        <v>164</v>
      </c>
      <c r="C165" s="15">
        <v>3021</v>
      </c>
      <c r="D165" s="13">
        <v>100</v>
      </c>
      <c r="E165" s="13" t="s">
        <v>1044</v>
      </c>
    </row>
    <row r="166" spans="1:5">
      <c r="A166" s="13" t="s">
        <v>1204</v>
      </c>
      <c r="B166" s="15" t="s">
        <v>170</v>
      </c>
      <c r="C166" s="15">
        <v>3023</v>
      </c>
      <c r="D166" s="13">
        <v>10</v>
      </c>
      <c r="E166" s="13" t="s">
        <v>1042</v>
      </c>
    </row>
    <row r="167" spans="1:5">
      <c r="A167" s="13" t="s">
        <v>1205</v>
      </c>
      <c r="B167" s="15" t="s">
        <v>170</v>
      </c>
      <c r="C167" s="15">
        <v>3023</v>
      </c>
      <c r="D167" s="13">
        <v>20</v>
      </c>
      <c r="E167" s="13" t="s">
        <v>1044</v>
      </c>
    </row>
    <row r="168" spans="1:5">
      <c r="A168" s="13" t="s">
        <v>1206</v>
      </c>
      <c r="B168" s="15" t="s">
        <v>170</v>
      </c>
      <c r="C168" s="15">
        <v>3023</v>
      </c>
      <c r="D168" s="13">
        <v>30</v>
      </c>
      <c r="E168" s="13" t="s">
        <v>1044</v>
      </c>
    </row>
    <row r="169" spans="1:5">
      <c r="A169" s="13" t="s">
        <v>1207</v>
      </c>
      <c r="B169" s="15" t="s">
        <v>170</v>
      </c>
      <c r="C169" s="15">
        <v>3023</v>
      </c>
      <c r="D169" s="13">
        <v>40</v>
      </c>
      <c r="E169" s="13" t="s">
        <v>1044</v>
      </c>
    </row>
    <row r="170" spans="1:5">
      <c r="A170" s="13" t="s">
        <v>1208</v>
      </c>
      <c r="B170" s="15" t="s">
        <v>170</v>
      </c>
      <c r="C170" s="15">
        <v>3023</v>
      </c>
      <c r="D170" s="13">
        <v>50</v>
      </c>
      <c r="E170" s="13" t="s">
        <v>1042</v>
      </c>
    </row>
    <row r="171" spans="1:5">
      <c r="A171" s="13" t="s">
        <v>1209</v>
      </c>
      <c r="B171" s="15" t="s">
        <v>170</v>
      </c>
      <c r="C171" s="15">
        <v>3023</v>
      </c>
      <c r="D171" s="13">
        <v>60</v>
      </c>
      <c r="E171" s="13" t="s">
        <v>1044</v>
      </c>
    </row>
    <row r="172" spans="1:5">
      <c r="A172" s="13" t="s">
        <v>1210</v>
      </c>
      <c r="B172" s="15" t="s">
        <v>170</v>
      </c>
      <c r="C172" s="15">
        <v>3023</v>
      </c>
      <c r="D172" s="13">
        <v>70</v>
      </c>
      <c r="E172" s="13" t="s">
        <v>1044</v>
      </c>
    </row>
    <row r="173" spans="1:5">
      <c r="A173" s="13" t="s">
        <v>1211</v>
      </c>
      <c r="B173" s="15" t="s">
        <v>170</v>
      </c>
      <c r="C173" s="15">
        <v>3023</v>
      </c>
      <c r="D173" s="13">
        <v>80</v>
      </c>
      <c r="E173" s="13" t="s">
        <v>1044</v>
      </c>
    </row>
    <row r="174" spans="1:5">
      <c r="A174" s="13" t="s">
        <v>1212</v>
      </c>
      <c r="B174" s="15" t="s">
        <v>170</v>
      </c>
      <c r="C174" s="15">
        <v>3023</v>
      </c>
      <c r="D174" s="13">
        <v>90</v>
      </c>
      <c r="E174" s="13" t="s">
        <v>1044</v>
      </c>
    </row>
    <row r="175" spans="1:5">
      <c r="A175" s="13" t="s">
        <v>1213</v>
      </c>
      <c r="B175" s="15" t="s">
        <v>170</v>
      </c>
      <c r="C175" s="15">
        <v>3023</v>
      </c>
      <c r="D175" s="13">
        <v>100</v>
      </c>
      <c r="E175" s="13" t="s">
        <v>1044</v>
      </c>
    </row>
    <row r="176" spans="1:5">
      <c r="A176" s="13" t="s">
        <v>1214</v>
      </c>
      <c r="B176" s="15" t="s">
        <v>228</v>
      </c>
      <c r="C176" s="15">
        <v>3024</v>
      </c>
      <c r="D176" s="13">
        <v>10</v>
      </c>
      <c r="E176" s="13" t="s">
        <v>1042</v>
      </c>
    </row>
    <row r="177" spans="1:5">
      <c r="A177" s="13" t="s">
        <v>1215</v>
      </c>
      <c r="B177" s="15" t="s">
        <v>228</v>
      </c>
      <c r="C177" s="15">
        <v>3024</v>
      </c>
      <c r="D177" s="13">
        <v>20</v>
      </c>
      <c r="E177" s="13" t="s">
        <v>1044</v>
      </c>
    </row>
    <row r="178" spans="1:5">
      <c r="A178" s="13" t="s">
        <v>1216</v>
      </c>
      <c r="B178" s="15" t="s">
        <v>228</v>
      </c>
      <c r="C178" s="15">
        <v>3024</v>
      </c>
      <c r="D178" s="13">
        <v>30</v>
      </c>
      <c r="E178" s="13" t="s">
        <v>1044</v>
      </c>
    </row>
    <row r="179" spans="1:5">
      <c r="A179" s="13" t="s">
        <v>1217</v>
      </c>
      <c r="B179" s="15" t="s">
        <v>228</v>
      </c>
      <c r="C179" s="15">
        <v>3024</v>
      </c>
      <c r="D179" s="13">
        <v>40</v>
      </c>
      <c r="E179" s="13" t="s">
        <v>1044</v>
      </c>
    </row>
    <row r="180" spans="1:5">
      <c r="A180" s="13" t="s">
        <v>1218</v>
      </c>
      <c r="B180" s="15" t="s">
        <v>228</v>
      </c>
      <c r="C180" s="15">
        <v>3024</v>
      </c>
      <c r="D180" s="13">
        <v>50</v>
      </c>
      <c r="E180" s="13" t="s">
        <v>1042</v>
      </c>
    </row>
    <row r="181" spans="1:5">
      <c r="A181" s="13" t="s">
        <v>1219</v>
      </c>
      <c r="B181" s="15" t="s">
        <v>228</v>
      </c>
      <c r="C181" s="15">
        <v>3024</v>
      </c>
      <c r="D181" s="13">
        <v>60</v>
      </c>
      <c r="E181" s="13" t="s">
        <v>1044</v>
      </c>
    </row>
    <row r="182" spans="1:5">
      <c r="A182" s="13" t="s">
        <v>1220</v>
      </c>
      <c r="B182" s="15" t="s">
        <v>228</v>
      </c>
      <c r="C182" s="15">
        <v>3024</v>
      </c>
      <c r="D182" s="13">
        <v>70</v>
      </c>
      <c r="E182" s="13" t="s">
        <v>1044</v>
      </c>
    </row>
    <row r="183" spans="1:5">
      <c r="A183" s="13" t="s">
        <v>1221</v>
      </c>
      <c r="B183" s="15" t="s">
        <v>228</v>
      </c>
      <c r="C183" s="15">
        <v>3024</v>
      </c>
      <c r="D183" s="13">
        <v>80</v>
      </c>
      <c r="E183" s="13" t="s">
        <v>1044</v>
      </c>
    </row>
    <row r="184" spans="1:5">
      <c r="A184" s="13" t="s">
        <v>1222</v>
      </c>
      <c r="B184" s="15" t="s">
        <v>228</v>
      </c>
      <c r="C184" s="15">
        <v>3024</v>
      </c>
      <c r="D184" s="13">
        <v>90</v>
      </c>
      <c r="E184" s="13" t="s">
        <v>1044</v>
      </c>
    </row>
    <row r="185" spans="1:5">
      <c r="A185" s="13" t="s">
        <v>1223</v>
      </c>
      <c r="B185" s="15" t="s">
        <v>228</v>
      </c>
      <c r="C185" s="15">
        <v>3024</v>
      </c>
      <c r="D185" s="13">
        <v>100</v>
      </c>
      <c r="E185" s="13" t="s">
        <v>1044</v>
      </c>
    </row>
    <row r="186" spans="1:5">
      <c r="A186" s="13" t="s">
        <v>1224</v>
      </c>
      <c r="B186" s="15" t="s">
        <v>176</v>
      </c>
      <c r="C186" s="15">
        <v>3025</v>
      </c>
      <c r="D186" s="13">
        <v>10</v>
      </c>
      <c r="E186" s="13" t="s">
        <v>1042</v>
      </c>
    </row>
    <row r="187" spans="1:5">
      <c r="A187" s="13" t="s">
        <v>1225</v>
      </c>
      <c r="B187" s="15" t="s">
        <v>176</v>
      </c>
      <c r="C187" s="15">
        <v>3025</v>
      </c>
      <c r="D187" s="13">
        <v>20</v>
      </c>
      <c r="E187" s="13" t="s">
        <v>1044</v>
      </c>
    </row>
    <row r="188" spans="1:5">
      <c r="A188" s="13" t="s">
        <v>1226</v>
      </c>
      <c r="B188" s="15" t="s">
        <v>176</v>
      </c>
      <c r="C188" s="15">
        <v>3025</v>
      </c>
      <c r="D188" s="13">
        <v>30</v>
      </c>
      <c r="E188" s="13" t="s">
        <v>1044</v>
      </c>
    </row>
    <row r="189" spans="1:5">
      <c r="A189" s="13" t="s">
        <v>1227</v>
      </c>
      <c r="B189" s="15" t="s">
        <v>176</v>
      </c>
      <c r="C189" s="15">
        <v>3025</v>
      </c>
      <c r="D189" s="13">
        <v>40</v>
      </c>
      <c r="E189" s="13" t="s">
        <v>1044</v>
      </c>
    </row>
    <row r="190" spans="1:5">
      <c r="A190" s="13" t="s">
        <v>1228</v>
      </c>
      <c r="B190" s="15" t="s">
        <v>176</v>
      </c>
      <c r="C190" s="15">
        <v>3025</v>
      </c>
      <c r="D190" s="13">
        <v>50</v>
      </c>
      <c r="E190" s="13" t="s">
        <v>1042</v>
      </c>
    </row>
    <row r="191" spans="1:5">
      <c r="A191" s="13" t="s">
        <v>1229</v>
      </c>
      <c r="B191" s="15" t="s">
        <v>176</v>
      </c>
      <c r="C191" s="15">
        <v>3025</v>
      </c>
      <c r="D191" s="13">
        <v>60</v>
      </c>
      <c r="E191" s="13" t="s">
        <v>1044</v>
      </c>
    </row>
    <row r="192" spans="1:5">
      <c r="A192" s="13" t="s">
        <v>1230</v>
      </c>
      <c r="B192" s="15" t="s">
        <v>176</v>
      </c>
      <c r="C192" s="15">
        <v>3025</v>
      </c>
      <c r="D192" s="13">
        <v>70</v>
      </c>
      <c r="E192" s="13" t="s">
        <v>1044</v>
      </c>
    </row>
    <row r="193" spans="1:5">
      <c r="A193" s="13" t="s">
        <v>1231</v>
      </c>
      <c r="B193" s="15" t="s">
        <v>176</v>
      </c>
      <c r="C193" s="15">
        <v>3025</v>
      </c>
      <c r="D193" s="13">
        <v>80</v>
      </c>
      <c r="E193" s="13" t="s">
        <v>1044</v>
      </c>
    </row>
    <row r="194" spans="1:5">
      <c r="A194" s="13" t="s">
        <v>1232</v>
      </c>
      <c r="B194" s="15" t="s">
        <v>176</v>
      </c>
      <c r="C194" s="15">
        <v>3025</v>
      </c>
      <c r="D194" s="13">
        <v>90</v>
      </c>
      <c r="E194" s="13" t="s">
        <v>1044</v>
      </c>
    </row>
    <row r="195" spans="1:5">
      <c r="A195" s="13" t="s">
        <v>1233</v>
      </c>
      <c r="B195" s="15" t="s">
        <v>176</v>
      </c>
      <c r="C195" s="15">
        <v>3025</v>
      </c>
      <c r="D195" s="13">
        <v>100</v>
      </c>
      <c r="E195" s="13" t="s">
        <v>1044</v>
      </c>
    </row>
    <row r="196" spans="1:5">
      <c r="A196" s="13" t="s">
        <v>1234</v>
      </c>
      <c r="B196" s="13" t="s">
        <v>181</v>
      </c>
      <c r="C196" s="15">
        <v>3026</v>
      </c>
      <c r="D196" s="13">
        <v>10</v>
      </c>
      <c r="E196" s="13" t="s">
        <v>1042</v>
      </c>
    </row>
    <row r="197" spans="1:5">
      <c r="A197" s="13" t="s">
        <v>1235</v>
      </c>
      <c r="B197" s="13" t="s">
        <v>181</v>
      </c>
      <c r="C197" s="15">
        <v>3026</v>
      </c>
      <c r="D197" s="13">
        <v>20</v>
      </c>
      <c r="E197" s="13" t="s">
        <v>1044</v>
      </c>
    </row>
    <row r="198" spans="1:5">
      <c r="A198" s="13" t="s">
        <v>1236</v>
      </c>
      <c r="B198" s="13" t="s">
        <v>181</v>
      </c>
      <c r="C198" s="15">
        <v>3026</v>
      </c>
      <c r="D198" s="13">
        <v>30</v>
      </c>
      <c r="E198" s="13" t="s">
        <v>1044</v>
      </c>
    </row>
    <row r="199" spans="1:5">
      <c r="A199" s="13" t="s">
        <v>1237</v>
      </c>
      <c r="B199" s="13" t="s">
        <v>181</v>
      </c>
      <c r="C199" s="15">
        <v>3026</v>
      </c>
      <c r="D199" s="13">
        <v>40</v>
      </c>
      <c r="E199" s="13" t="s">
        <v>1044</v>
      </c>
    </row>
    <row r="200" spans="1:5">
      <c r="A200" s="13" t="s">
        <v>1238</v>
      </c>
      <c r="B200" s="13" t="s">
        <v>181</v>
      </c>
      <c r="C200" s="15">
        <v>3026</v>
      </c>
      <c r="D200" s="13">
        <v>50</v>
      </c>
      <c r="E200" s="13" t="s">
        <v>1042</v>
      </c>
    </row>
    <row r="201" spans="1:5">
      <c r="A201" s="13" t="s">
        <v>1239</v>
      </c>
      <c r="B201" s="13" t="s">
        <v>181</v>
      </c>
      <c r="C201" s="15">
        <v>3026</v>
      </c>
      <c r="D201" s="13">
        <v>60</v>
      </c>
      <c r="E201" s="13" t="s">
        <v>1044</v>
      </c>
    </row>
    <row r="202" spans="1:5">
      <c r="A202" s="13" t="s">
        <v>1240</v>
      </c>
      <c r="B202" s="13" t="s">
        <v>181</v>
      </c>
      <c r="C202" s="15">
        <v>3026</v>
      </c>
      <c r="D202" s="13">
        <v>70</v>
      </c>
      <c r="E202" s="13" t="s">
        <v>1044</v>
      </c>
    </row>
    <row r="203" spans="1:5">
      <c r="A203" s="13" t="s">
        <v>1241</v>
      </c>
      <c r="B203" s="13" t="s">
        <v>181</v>
      </c>
      <c r="C203" s="15">
        <v>3026</v>
      </c>
      <c r="D203" s="13">
        <v>80</v>
      </c>
      <c r="E203" s="13" t="s">
        <v>1044</v>
      </c>
    </row>
    <row r="204" spans="1:5">
      <c r="A204" s="13" t="s">
        <v>1242</v>
      </c>
      <c r="B204" s="13" t="s">
        <v>181</v>
      </c>
      <c r="C204" s="15">
        <v>3026</v>
      </c>
      <c r="D204" s="13">
        <v>90</v>
      </c>
      <c r="E204" s="13" t="s">
        <v>1044</v>
      </c>
    </row>
    <row r="205" spans="1:5">
      <c r="A205" s="13" t="s">
        <v>1243</v>
      </c>
      <c r="B205" s="13" t="s">
        <v>181</v>
      </c>
      <c r="C205" s="15">
        <v>3026</v>
      </c>
      <c r="D205" s="13">
        <v>100</v>
      </c>
      <c r="E205" s="13" t="s">
        <v>1044</v>
      </c>
    </row>
    <row r="206" spans="1:5">
      <c r="A206" s="13" t="s">
        <v>1244</v>
      </c>
      <c r="B206" s="15" t="s">
        <v>187</v>
      </c>
      <c r="C206" s="15">
        <v>3028</v>
      </c>
      <c r="D206" s="13">
        <v>10</v>
      </c>
      <c r="E206" s="13" t="s">
        <v>1042</v>
      </c>
    </row>
    <row r="207" spans="1:5">
      <c r="A207" s="13" t="s">
        <v>1245</v>
      </c>
      <c r="B207" s="15" t="s">
        <v>187</v>
      </c>
      <c r="C207" s="15">
        <v>3028</v>
      </c>
      <c r="D207" s="13">
        <v>20</v>
      </c>
      <c r="E207" s="13" t="s">
        <v>1044</v>
      </c>
    </row>
    <row r="208" spans="1:5">
      <c r="A208" s="13" t="s">
        <v>1246</v>
      </c>
      <c r="B208" s="15" t="s">
        <v>187</v>
      </c>
      <c r="C208" s="15">
        <v>3028</v>
      </c>
      <c r="D208" s="13">
        <v>30</v>
      </c>
      <c r="E208" s="13" t="s">
        <v>1044</v>
      </c>
    </row>
    <row r="209" spans="1:5">
      <c r="A209" s="13" t="s">
        <v>1247</v>
      </c>
      <c r="B209" s="15" t="s">
        <v>187</v>
      </c>
      <c r="C209" s="15">
        <v>3028</v>
      </c>
      <c r="D209" s="13">
        <v>40</v>
      </c>
      <c r="E209" s="13" t="s">
        <v>1044</v>
      </c>
    </row>
    <row r="210" spans="1:5">
      <c r="A210" s="13" t="s">
        <v>1248</v>
      </c>
      <c r="B210" s="15" t="s">
        <v>187</v>
      </c>
      <c r="C210" s="15">
        <v>3028</v>
      </c>
      <c r="D210" s="13">
        <v>50</v>
      </c>
      <c r="E210" s="13" t="s">
        <v>1042</v>
      </c>
    </row>
    <row r="211" spans="1:5">
      <c r="A211" s="13" t="s">
        <v>1249</v>
      </c>
      <c r="B211" s="15" t="s">
        <v>187</v>
      </c>
      <c r="C211" s="15">
        <v>3028</v>
      </c>
      <c r="D211" s="13">
        <v>60</v>
      </c>
      <c r="E211" s="13" t="s">
        <v>1044</v>
      </c>
    </row>
    <row r="212" spans="1:5">
      <c r="A212" s="13" t="s">
        <v>1250</v>
      </c>
      <c r="B212" s="15" t="s">
        <v>187</v>
      </c>
      <c r="C212" s="15">
        <v>3028</v>
      </c>
      <c r="D212" s="13">
        <v>70</v>
      </c>
      <c r="E212" s="13" t="s">
        <v>1044</v>
      </c>
    </row>
    <row r="213" spans="1:5">
      <c r="A213" s="13" t="s">
        <v>1251</v>
      </c>
      <c r="B213" s="15" t="s">
        <v>187</v>
      </c>
      <c r="C213" s="15">
        <v>3028</v>
      </c>
      <c r="D213" s="13">
        <v>80</v>
      </c>
      <c r="E213" s="13" t="s">
        <v>1044</v>
      </c>
    </row>
    <row r="214" spans="1:5">
      <c r="A214" s="13" t="s">
        <v>1252</v>
      </c>
      <c r="B214" s="15" t="s">
        <v>187</v>
      </c>
      <c r="C214" s="15">
        <v>3028</v>
      </c>
      <c r="D214" s="13">
        <v>90</v>
      </c>
      <c r="E214" s="13" t="s">
        <v>1044</v>
      </c>
    </row>
    <row r="215" spans="1:5">
      <c r="A215" s="13" t="s">
        <v>1253</v>
      </c>
      <c r="B215" s="15" t="s">
        <v>187</v>
      </c>
      <c r="C215" s="15">
        <v>3028</v>
      </c>
      <c r="D215" s="13">
        <v>100</v>
      </c>
      <c r="E215" s="13" t="s">
        <v>1044</v>
      </c>
    </row>
    <row r="216" spans="1:5">
      <c r="A216" s="13" t="s">
        <v>1254</v>
      </c>
      <c r="B216" s="15" t="s">
        <v>186</v>
      </c>
      <c r="C216" s="15">
        <v>3030</v>
      </c>
      <c r="D216" s="13">
        <v>10</v>
      </c>
      <c r="E216" s="13" t="s">
        <v>1042</v>
      </c>
    </row>
    <row r="217" spans="1:5">
      <c r="A217" s="13" t="s">
        <v>1255</v>
      </c>
      <c r="B217" s="15" t="s">
        <v>186</v>
      </c>
      <c r="C217" s="15">
        <v>3030</v>
      </c>
      <c r="D217" s="13">
        <v>20</v>
      </c>
      <c r="E217" s="13" t="s">
        <v>1044</v>
      </c>
    </row>
    <row r="218" spans="1:5">
      <c r="A218" s="13" t="s">
        <v>1256</v>
      </c>
      <c r="B218" s="15" t="s">
        <v>186</v>
      </c>
      <c r="C218" s="15">
        <v>3030</v>
      </c>
      <c r="D218" s="13">
        <v>30</v>
      </c>
      <c r="E218" s="13" t="s">
        <v>1044</v>
      </c>
    </row>
    <row r="219" spans="1:5">
      <c r="A219" s="13" t="s">
        <v>1257</v>
      </c>
      <c r="B219" s="15" t="s">
        <v>186</v>
      </c>
      <c r="C219" s="15">
        <v>3030</v>
      </c>
      <c r="D219" s="13">
        <v>40</v>
      </c>
      <c r="E219" s="13" t="s">
        <v>1044</v>
      </c>
    </row>
    <row r="220" spans="1:5">
      <c r="A220" s="13" t="s">
        <v>1258</v>
      </c>
      <c r="B220" s="15" t="s">
        <v>186</v>
      </c>
      <c r="C220" s="15">
        <v>3030</v>
      </c>
      <c r="D220" s="13">
        <v>50</v>
      </c>
      <c r="E220" s="13" t="s">
        <v>1042</v>
      </c>
    </row>
    <row r="221" spans="1:5">
      <c r="A221" s="13" t="s">
        <v>1259</v>
      </c>
      <c r="B221" s="15" t="s">
        <v>186</v>
      </c>
      <c r="C221" s="15">
        <v>3030</v>
      </c>
      <c r="D221" s="13">
        <v>60</v>
      </c>
      <c r="E221" s="13" t="s">
        <v>1044</v>
      </c>
    </row>
    <row r="222" spans="1:5">
      <c r="A222" s="13" t="s">
        <v>1260</v>
      </c>
      <c r="B222" s="15" t="s">
        <v>186</v>
      </c>
      <c r="C222" s="15">
        <v>3030</v>
      </c>
      <c r="D222" s="13">
        <v>70</v>
      </c>
      <c r="E222" s="13" t="s">
        <v>1044</v>
      </c>
    </row>
    <row r="223" spans="1:5">
      <c r="A223" s="13" t="s">
        <v>1261</v>
      </c>
      <c r="B223" s="15" t="s">
        <v>186</v>
      </c>
      <c r="C223" s="15">
        <v>3030</v>
      </c>
      <c r="D223" s="13">
        <v>80</v>
      </c>
      <c r="E223" s="13" t="s">
        <v>1044</v>
      </c>
    </row>
    <row r="224" spans="1:5">
      <c r="A224" s="13" t="s">
        <v>1262</v>
      </c>
      <c r="B224" s="15" t="s">
        <v>186</v>
      </c>
      <c r="C224" s="15">
        <v>3030</v>
      </c>
      <c r="D224" s="13">
        <v>90</v>
      </c>
      <c r="E224" s="13" t="s">
        <v>1044</v>
      </c>
    </row>
    <row r="225" spans="1:5">
      <c r="A225" s="13" t="s">
        <v>1263</v>
      </c>
      <c r="B225" s="15" t="s">
        <v>186</v>
      </c>
      <c r="C225" s="15">
        <v>3030</v>
      </c>
      <c r="D225" s="13">
        <v>100</v>
      </c>
      <c r="E225" s="13" t="s">
        <v>1044</v>
      </c>
    </row>
    <row r="226" spans="1:5">
      <c r="A226" s="13" t="s">
        <v>1264</v>
      </c>
      <c r="B226" s="15" t="s">
        <v>195</v>
      </c>
      <c r="C226" s="15">
        <v>3031</v>
      </c>
      <c r="D226" s="13">
        <v>10</v>
      </c>
      <c r="E226" s="13" t="s">
        <v>1042</v>
      </c>
    </row>
    <row r="227" spans="1:5">
      <c r="A227" s="13" t="s">
        <v>1265</v>
      </c>
      <c r="B227" s="15" t="s">
        <v>195</v>
      </c>
      <c r="C227" s="15">
        <v>3031</v>
      </c>
      <c r="D227" s="13">
        <v>20</v>
      </c>
      <c r="E227" s="13" t="s">
        <v>1044</v>
      </c>
    </row>
    <row r="228" spans="1:5">
      <c r="A228" s="13" t="s">
        <v>1266</v>
      </c>
      <c r="B228" s="15" t="s">
        <v>195</v>
      </c>
      <c r="C228" s="15">
        <v>3031</v>
      </c>
      <c r="D228" s="13">
        <v>30</v>
      </c>
      <c r="E228" s="13" t="s">
        <v>1044</v>
      </c>
    </row>
    <row r="229" spans="1:5">
      <c r="A229" s="13" t="s">
        <v>1267</v>
      </c>
      <c r="B229" s="15" t="s">
        <v>195</v>
      </c>
      <c r="C229" s="15">
        <v>3031</v>
      </c>
      <c r="D229" s="13">
        <v>40</v>
      </c>
      <c r="E229" s="13" t="s">
        <v>1044</v>
      </c>
    </row>
    <row r="230" spans="1:5">
      <c r="A230" s="13" t="s">
        <v>1268</v>
      </c>
      <c r="B230" s="15" t="s">
        <v>195</v>
      </c>
      <c r="C230" s="15">
        <v>3031</v>
      </c>
      <c r="D230" s="13">
        <v>50</v>
      </c>
      <c r="E230" s="13" t="s">
        <v>1042</v>
      </c>
    </row>
    <row r="231" spans="1:5">
      <c r="A231" s="13" t="s">
        <v>1269</v>
      </c>
      <c r="B231" s="15" t="s">
        <v>195</v>
      </c>
      <c r="C231" s="15">
        <v>3031</v>
      </c>
      <c r="D231" s="13">
        <v>60</v>
      </c>
      <c r="E231" s="13" t="s">
        <v>1044</v>
      </c>
    </row>
    <row r="232" spans="1:5">
      <c r="A232" s="13" t="s">
        <v>1270</v>
      </c>
      <c r="B232" s="15" t="s">
        <v>195</v>
      </c>
      <c r="C232" s="15">
        <v>3031</v>
      </c>
      <c r="D232" s="13">
        <v>70</v>
      </c>
      <c r="E232" s="13" t="s">
        <v>1044</v>
      </c>
    </row>
    <row r="233" spans="1:5">
      <c r="A233" s="13" t="s">
        <v>1271</v>
      </c>
      <c r="B233" s="15" t="s">
        <v>195</v>
      </c>
      <c r="C233" s="15">
        <v>3031</v>
      </c>
      <c r="D233" s="13">
        <v>80</v>
      </c>
      <c r="E233" s="13" t="s">
        <v>1044</v>
      </c>
    </row>
    <row r="234" spans="1:5">
      <c r="A234" s="13" t="s">
        <v>1272</v>
      </c>
      <c r="B234" s="15" t="s">
        <v>195</v>
      </c>
      <c r="C234" s="15">
        <v>3031</v>
      </c>
      <c r="D234" s="13">
        <v>90</v>
      </c>
      <c r="E234" s="13" t="s">
        <v>1044</v>
      </c>
    </row>
    <row r="235" spans="1:5">
      <c r="A235" s="13" t="s">
        <v>1273</v>
      </c>
      <c r="B235" s="15" t="s">
        <v>195</v>
      </c>
      <c r="C235" s="15">
        <v>3031</v>
      </c>
      <c r="D235" s="13">
        <v>100</v>
      </c>
      <c r="E235" s="13" t="s">
        <v>1044</v>
      </c>
    </row>
    <row r="236" spans="1:5">
      <c r="A236" s="13" t="s">
        <v>1274</v>
      </c>
      <c r="B236" s="15" t="s">
        <v>199</v>
      </c>
      <c r="C236" s="15">
        <v>3033</v>
      </c>
      <c r="D236" s="13">
        <v>10</v>
      </c>
      <c r="E236" s="13" t="s">
        <v>1042</v>
      </c>
    </row>
    <row r="237" spans="1:5">
      <c r="A237" s="13" t="s">
        <v>1275</v>
      </c>
      <c r="B237" s="15" t="s">
        <v>199</v>
      </c>
      <c r="C237" s="15">
        <v>3033</v>
      </c>
      <c r="D237" s="13">
        <v>20</v>
      </c>
      <c r="E237" s="13" t="s">
        <v>1044</v>
      </c>
    </row>
    <row r="238" spans="1:5">
      <c r="A238" s="13" t="s">
        <v>1276</v>
      </c>
      <c r="B238" s="15" t="s">
        <v>199</v>
      </c>
      <c r="C238" s="15">
        <v>3033</v>
      </c>
      <c r="D238" s="13">
        <v>30</v>
      </c>
      <c r="E238" s="13" t="s">
        <v>1044</v>
      </c>
    </row>
    <row r="239" spans="1:5">
      <c r="A239" s="13" t="s">
        <v>1277</v>
      </c>
      <c r="B239" s="15" t="s">
        <v>199</v>
      </c>
      <c r="C239" s="15">
        <v>3033</v>
      </c>
      <c r="D239" s="13">
        <v>40</v>
      </c>
      <c r="E239" s="13" t="s">
        <v>1044</v>
      </c>
    </row>
    <row r="240" spans="1:5">
      <c r="A240" s="13" t="s">
        <v>1278</v>
      </c>
      <c r="B240" s="15" t="s">
        <v>199</v>
      </c>
      <c r="C240" s="15">
        <v>3033</v>
      </c>
      <c r="D240" s="13">
        <v>50</v>
      </c>
      <c r="E240" s="13" t="s">
        <v>1042</v>
      </c>
    </row>
    <row r="241" spans="1:5">
      <c r="A241" s="13" t="s">
        <v>1279</v>
      </c>
      <c r="B241" s="15" t="s">
        <v>199</v>
      </c>
      <c r="C241" s="15">
        <v>3033</v>
      </c>
      <c r="D241" s="13">
        <v>60</v>
      </c>
      <c r="E241" s="13" t="s">
        <v>1044</v>
      </c>
    </row>
    <row r="242" spans="1:5">
      <c r="A242" s="13" t="s">
        <v>1280</v>
      </c>
      <c r="B242" s="15" t="s">
        <v>199</v>
      </c>
      <c r="C242" s="15">
        <v>3033</v>
      </c>
      <c r="D242" s="13">
        <v>70</v>
      </c>
      <c r="E242" s="13" t="s">
        <v>1044</v>
      </c>
    </row>
    <row r="243" spans="1:5">
      <c r="A243" s="13" t="s">
        <v>1281</v>
      </c>
      <c r="B243" s="15" t="s">
        <v>199</v>
      </c>
      <c r="C243" s="15">
        <v>3033</v>
      </c>
      <c r="D243" s="13">
        <v>80</v>
      </c>
      <c r="E243" s="13" t="s">
        <v>1044</v>
      </c>
    </row>
    <row r="244" spans="1:5">
      <c r="A244" s="13" t="s">
        <v>1282</v>
      </c>
      <c r="B244" s="15" t="s">
        <v>199</v>
      </c>
      <c r="C244" s="15">
        <v>3033</v>
      </c>
      <c r="D244" s="13">
        <v>90</v>
      </c>
      <c r="E244" s="13" t="s">
        <v>1044</v>
      </c>
    </row>
    <row r="245" spans="1:5">
      <c r="A245" s="13" t="s">
        <v>1283</v>
      </c>
      <c r="B245" s="15" t="s">
        <v>199</v>
      </c>
      <c r="C245" s="15">
        <v>3033</v>
      </c>
      <c r="D245" s="13">
        <v>100</v>
      </c>
      <c r="E245" s="13" t="s">
        <v>1044</v>
      </c>
    </row>
    <row r="246" spans="1:5">
      <c r="A246" s="13" t="s">
        <v>1284</v>
      </c>
      <c r="B246" s="15" t="s">
        <v>191</v>
      </c>
      <c r="C246" s="15">
        <v>3034</v>
      </c>
      <c r="D246" s="13">
        <v>10</v>
      </c>
      <c r="E246" s="13" t="s">
        <v>1042</v>
      </c>
    </row>
    <row r="247" spans="1:5">
      <c r="A247" s="13" t="s">
        <v>1285</v>
      </c>
      <c r="B247" s="15" t="s">
        <v>191</v>
      </c>
      <c r="C247" s="15">
        <v>3034</v>
      </c>
      <c r="D247" s="13">
        <v>20</v>
      </c>
      <c r="E247" s="13" t="s">
        <v>1044</v>
      </c>
    </row>
    <row r="248" spans="1:5">
      <c r="A248" s="13" t="s">
        <v>1286</v>
      </c>
      <c r="B248" s="15" t="s">
        <v>191</v>
      </c>
      <c r="C248" s="15">
        <v>3034</v>
      </c>
      <c r="D248" s="13">
        <v>30</v>
      </c>
      <c r="E248" s="13" t="s">
        <v>1044</v>
      </c>
    </row>
    <row r="249" spans="1:5">
      <c r="A249" s="13" t="s">
        <v>1287</v>
      </c>
      <c r="B249" s="15" t="s">
        <v>191</v>
      </c>
      <c r="C249" s="15">
        <v>3034</v>
      </c>
      <c r="D249" s="13">
        <v>40</v>
      </c>
      <c r="E249" s="13" t="s">
        <v>1044</v>
      </c>
    </row>
    <row r="250" spans="1:5">
      <c r="A250" s="13" t="s">
        <v>1288</v>
      </c>
      <c r="B250" s="15" t="s">
        <v>191</v>
      </c>
      <c r="C250" s="15">
        <v>3034</v>
      </c>
      <c r="D250" s="13">
        <v>50</v>
      </c>
      <c r="E250" s="13" t="s">
        <v>1042</v>
      </c>
    </row>
    <row r="251" spans="1:5">
      <c r="A251" s="13" t="s">
        <v>1289</v>
      </c>
      <c r="B251" s="15" t="s">
        <v>191</v>
      </c>
      <c r="C251" s="15">
        <v>3034</v>
      </c>
      <c r="D251" s="13">
        <v>60</v>
      </c>
      <c r="E251" s="13" t="s">
        <v>1044</v>
      </c>
    </row>
    <row r="252" spans="1:5">
      <c r="A252" s="13" t="s">
        <v>1290</v>
      </c>
      <c r="B252" s="15" t="s">
        <v>191</v>
      </c>
      <c r="C252" s="15">
        <v>3034</v>
      </c>
      <c r="D252" s="13">
        <v>70</v>
      </c>
      <c r="E252" s="13" t="s">
        <v>1044</v>
      </c>
    </row>
    <row r="253" spans="1:5">
      <c r="A253" s="13" t="s">
        <v>1291</v>
      </c>
      <c r="B253" s="15" t="s">
        <v>191</v>
      </c>
      <c r="C253" s="15">
        <v>3034</v>
      </c>
      <c r="D253" s="13">
        <v>80</v>
      </c>
      <c r="E253" s="13" t="s">
        <v>1044</v>
      </c>
    </row>
    <row r="254" spans="1:5">
      <c r="A254" s="13" t="s">
        <v>1292</v>
      </c>
      <c r="B254" s="15" t="s">
        <v>191</v>
      </c>
      <c r="C254" s="15">
        <v>3034</v>
      </c>
      <c r="D254" s="13">
        <v>90</v>
      </c>
      <c r="E254" s="13" t="s">
        <v>1044</v>
      </c>
    </row>
    <row r="255" spans="1:5">
      <c r="A255" s="13" t="s">
        <v>1293</v>
      </c>
      <c r="B255" s="15" t="s">
        <v>191</v>
      </c>
      <c r="C255" s="15">
        <v>3034</v>
      </c>
      <c r="D255" s="13">
        <v>100</v>
      </c>
      <c r="E255" s="13" t="s">
        <v>1044</v>
      </c>
    </row>
    <row r="256" spans="1:5">
      <c r="A256" s="13" t="s">
        <v>1294</v>
      </c>
      <c r="B256" s="15" t="s">
        <v>210</v>
      </c>
      <c r="C256" s="15">
        <v>3036</v>
      </c>
      <c r="D256" s="13">
        <v>10</v>
      </c>
      <c r="E256" s="13" t="s">
        <v>1042</v>
      </c>
    </row>
    <row r="257" spans="1:5">
      <c r="A257" s="13" t="s">
        <v>1295</v>
      </c>
      <c r="B257" s="15" t="s">
        <v>210</v>
      </c>
      <c r="C257" s="15">
        <v>3036</v>
      </c>
      <c r="D257" s="13">
        <v>20</v>
      </c>
      <c r="E257" s="13" t="s">
        <v>1044</v>
      </c>
    </row>
    <row r="258" spans="1:5">
      <c r="A258" s="13" t="s">
        <v>1296</v>
      </c>
      <c r="B258" s="15" t="s">
        <v>210</v>
      </c>
      <c r="C258" s="15">
        <v>3036</v>
      </c>
      <c r="D258" s="13">
        <v>30</v>
      </c>
      <c r="E258" s="13" t="s">
        <v>1044</v>
      </c>
    </row>
    <row r="259" spans="1:5">
      <c r="A259" s="13" t="s">
        <v>1297</v>
      </c>
      <c r="B259" s="15" t="s">
        <v>210</v>
      </c>
      <c r="C259" s="15">
        <v>3036</v>
      </c>
      <c r="D259" s="13">
        <v>40</v>
      </c>
      <c r="E259" s="13" t="s">
        <v>1044</v>
      </c>
    </row>
    <row r="260" spans="1:5">
      <c r="A260" s="13" t="s">
        <v>1298</v>
      </c>
      <c r="B260" s="15" t="s">
        <v>210</v>
      </c>
      <c r="C260" s="15">
        <v>3036</v>
      </c>
      <c r="D260" s="13">
        <v>50</v>
      </c>
      <c r="E260" s="13" t="s">
        <v>1042</v>
      </c>
    </row>
    <row r="261" spans="1:5">
      <c r="A261" s="13" t="s">
        <v>1299</v>
      </c>
      <c r="B261" s="15" t="s">
        <v>210</v>
      </c>
      <c r="C261" s="15">
        <v>3036</v>
      </c>
      <c r="D261" s="13">
        <v>60</v>
      </c>
      <c r="E261" s="13" t="s">
        <v>1044</v>
      </c>
    </row>
    <row r="262" spans="1:5">
      <c r="A262" s="13" t="s">
        <v>1300</v>
      </c>
      <c r="B262" s="15" t="s">
        <v>210</v>
      </c>
      <c r="C262" s="15">
        <v>3036</v>
      </c>
      <c r="D262" s="13">
        <v>70</v>
      </c>
      <c r="E262" s="13" t="s">
        <v>1044</v>
      </c>
    </row>
    <row r="263" spans="1:5">
      <c r="A263" s="13" t="s">
        <v>1301</v>
      </c>
      <c r="B263" s="15" t="s">
        <v>210</v>
      </c>
      <c r="C263" s="15">
        <v>3036</v>
      </c>
      <c r="D263" s="13">
        <v>80</v>
      </c>
      <c r="E263" s="13" t="s">
        <v>1044</v>
      </c>
    </row>
    <row r="264" spans="1:5">
      <c r="A264" s="13" t="s">
        <v>1302</v>
      </c>
      <c r="B264" s="15" t="s">
        <v>210</v>
      </c>
      <c r="C264" s="15">
        <v>3036</v>
      </c>
      <c r="D264" s="13">
        <v>90</v>
      </c>
      <c r="E264" s="13" t="s">
        <v>1044</v>
      </c>
    </row>
    <row r="265" spans="1:5">
      <c r="A265" s="13" t="s">
        <v>1303</v>
      </c>
      <c r="B265" s="15" t="s">
        <v>210</v>
      </c>
      <c r="C265" s="15">
        <v>3036</v>
      </c>
      <c r="D265" s="13">
        <v>100</v>
      </c>
      <c r="E265" s="13" t="s">
        <v>1044</v>
      </c>
    </row>
    <row r="266" spans="1:5">
      <c r="A266" s="13" t="s">
        <v>1304</v>
      </c>
      <c r="B266" s="13" t="s">
        <v>215</v>
      </c>
      <c r="C266" s="13">
        <v>3038</v>
      </c>
      <c r="D266" s="13">
        <v>10</v>
      </c>
      <c r="E266" s="13" t="s">
        <v>1042</v>
      </c>
    </row>
    <row r="267" spans="1:5">
      <c r="A267" s="13" t="s">
        <v>1305</v>
      </c>
      <c r="B267" s="13" t="s">
        <v>215</v>
      </c>
      <c r="C267" s="13">
        <v>3038</v>
      </c>
      <c r="D267" s="13">
        <v>20</v>
      </c>
      <c r="E267" s="13" t="s">
        <v>1044</v>
      </c>
    </row>
    <row r="268" spans="1:5">
      <c r="A268" s="13" t="s">
        <v>1306</v>
      </c>
      <c r="B268" s="13" t="s">
        <v>215</v>
      </c>
      <c r="C268" s="13">
        <v>3038</v>
      </c>
      <c r="D268" s="13">
        <v>30</v>
      </c>
      <c r="E268" s="13" t="s">
        <v>1044</v>
      </c>
    </row>
    <row r="269" spans="1:5">
      <c r="A269" s="13" t="s">
        <v>1307</v>
      </c>
      <c r="B269" s="13" t="s">
        <v>215</v>
      </c>
      <c r="C269" s="13">
        <v>3038</v>
      </c>
      <c r="D269" s="13">
        <v>40</v>
      </c>
      <c r="E269" s="13" t="s">
        <v>1044</v>
      </c>
    </row>
    <row r="270" spans="1:5">
      <c r="A270" s="13" t="s">
        <v>1308</v>
      </c>
      <c r="B270" s="13" t="s">
        <v>215</v>
      </c>
      <c r="C270" s="13">
        <v>3038</v>
      </c>
      <c r="D270" s="13">
        <v>50</v>
      </c>
      <c r="E270" s="13" t="s">
        <v>1042</v>
      </c>
    </row>
    <row r="271" spans="1:5">
      <c r="A271" s="13" t="s">
        <v>1309</v>
      </c>
      <c r="B271" s="13" t="s">
        <v>215</v>
      </c>
      <c r="C271" s="13">
        <v>3038</v>
      </c>
      <c r="D271" s="13">
        <v>60</v>
      </c>
      <c r="E271" s="13" t="s">
        <v>1044</v>
      </c>
    </row>
    <row r="272" spans="1:5">
      <c r="A272" s="13" t="s">
        <v>1310</v>
      </c>
      <c r="B272" s="13" t="s">
        <v>215</v>
      </c>
      <c r="C272" s="13">
        <v>3038</v>
      </c>
      <c r="D272" s="13">
        <v>70</v>
      </c>
      <c r="E272" s="13" t="s">
        <v>1044</v>
      </c>
    </row>
    <row r="273" spans="1:5">
      <c r="A273" s="13" t="s">
        <v>1311</v>
      </c>
      <c r="B273" s="13" t="s">
        <v>215</v>
      </c>
      <c r="C273" s="13">
        <v>3038</v>
      </c>
      <c r="D273" s="13">
        <v>80</v>
      </c>
      <c r="E273" s="13" t="s">
        <v>1044</v>
      </c>
    </row>
    <row r="274" spans="1:5">
      <c r="A274" s="13" t="s">
        <v>1312</v>
      </c>
      <c r="B274" s="13" t="s">
        <v>215</v>
      </c>
      <c r="C274" s="13">
        <v>3038</v>
      </c>
      <c r="D274" s="13">
        <v>90</v>
      </c>
      <c r="E274" s="13" t="s">
        <v>1044</v>
      </c>
    </row>
    <row r="275" spans="1:5">
      <c r="A275" s="13" t="s">
        <v>1313</v>
      </c>
      <c r="B275" s="13" t="s">
        <v>215</v>
      </c>
      <c r="C275" s="13">
        <v>3038</v>
      </c>
      <c r="D275" s="13">
        <v>100</v>
      </c>
      <c r="E275" s="13" t="s">
        <v>1044</v>
      </c>
    </row>
    <row r="276" spans="1:5">
      <c r="A276" s="13" t="s">
        <v>1314</v>
      </c>
      <c r="B276" s="13" t="s">
        <v>221</v>
      </c>
      <c r="C276" s="13">
        <v>3040</v>
      </c>
      <c r="D276" s="13">
        <v>10</v>
      </c>
      <c r="E276" s="13" t="s">
        <v>1042</v>
      </c>
    </row>
    <row r="277" spans="1:5">
      <c r="A277" s="13" t="s">
        <v>1315</v>
      </c>
      <c r="B277" s="13" t="s">
        <v>221</v>
      </c>
      <c r="C277" s="13">
        <v>3040</v>
      </c>
      <c r="D277" s="13">
        <v>20</v>
      </c>
      <c r="E277" s="13" t="s">
        <v>1044</v>
      </c>
    </row>
    <row r="278" spans="1:5">
      <c r="A278" s="13" t="s">
        <v>1316</v>
      </c>
      <c r="B278" s="13" t="s">
        <v>221</v>
      </c>
      <c r="C278" s="13">
        <v>3040</v>
      </c>
      <c r="D278" s="13">
        <v>30</v>
      </c>
      <c r="E278" s="13" t="s">
        <v>1044</v>
      </c>
    </row>
    <row r="279" spans="1:5">
      <c r="A279" s="13" t="s">
        <v>1317</v>
      </c>
      <c r="B279" s="13" t="s">
        <v>221</v>
      </c>
      <c r="C279" s="13">
        <v>3040</v>
      </c>
      <c r="D279" s="13">
        <v>40</v>
      </c>
      <c r="E279" s="13" t="s">
        <v>1044</v>
      </c>
    </row>
    <row r="280" spans="1:5">
      <c r="A280" s="13" t="s">
        <v>1318</v>
      </c>
      <c r="B280" s="13" t="s">
        <v>221</v>
      </c>
      <c r="C280" s="13">
        <v>3040</v>
      </c>
      <c r="D280" s="13">
        <v>50</v>
      </c>
      <c r="E280" s="13" t="s">
        <v>1042</v>
      </c>
    </row>
    <row r="281" spans="1:5">
      <c r="A281" s="13" t="s">
        <v>1319</v>
      </c>
      <c r="B281" s="13" t="s">
        <v>221</v>
      </c>
      <c r="C281" s="13">
        <v>3040</v>
      </c>
      <c r="D281" s="13">
        <v>60</v>
      </c>
      <c r="E281" s="13" t="s">
        <v>1044</v>
      </c>
    </row>
    <row r="282" spans="1:5">
      <c r="A282" s="13" t="s">
        <v>1320</v>
      </c>
      <c r="B282" s="13" t="s">
        <v>221</v>
      </c>
      <c r="C282" s="13">
        <v>3040</v>
      </c>
      <c r="D282" s="13">
        <v>70</v>
      </c>
      <c r="E282" s="13" t="s">
        <v>1044</v>
      </c>
    </row>
    <row r="283" spans="1:5">
      <c r="A283" s="13" t="s">
        <v>1321</v>
      </c>
      <c r="B283" s="13" t="s">
        <v>221</v>
      </c>
      <c r="C283" s="13">
        <v>3040</v>
      </c>
      <c r="D283" s="13">
        <v>80</v>
      </c>
      <c r="E283" s="13" t="s">
        <v>1044</v>
      </c>
    </row>
    <row r="284" spans="1:5">
      <c r="A284" s="13" t="s">
        <v>1322</v>
      </c>
      <c r="B284" s="13" t="s">
        <v>221</v>
      </c>
      <c r="C284" s="13">
        <v>3040</v>
      </c>
      <c r="D284" s="13">
        <v>90</v>
      </c>
      <c r="E284" s="13" t="s">
        <v>1044</v>
      </c>
    </row>
    <row r="285" spans="1:5">
      <c r="A285" s="13" t="s">
        <v>1323</v>
      </c>
      <c r="B285" s="13" t="s">
        <v>221</v>
      </c>
      <c r="C285" s="13">
        <v>3040</v>
      </c>
      <c r="D285" s="13">
        <v>100</v>
      </c>
      <c r="E285" s="13" t="s">
        <v>1044</v>
      </c>
    </row>
    <row r="286" spans="1:5">
      <c r="A286" s="13" t="s">
        <v>1324</v>
      </c>
      <c r="B286" s="16" t="s">
        <v>133</v>
      </c>
      <c r="C286" s="16">
        <v>3041</v>
      </c>
      <c r="D286" s="13">
        <v>10</v>
      </c>
      <c r="E286" s="13" t="s">
        <v>1042</v>
      </c>
    </row>
    <row r="287" spans="1:5">
      <c r="A287" s="13" t="s">
        <v>1325</v>
      </c>
      <c r="B287" s="16" t="s">
        <v>133</v>
      </c>
      <c r="C287" s="16">
        <v>3041</v>
      </c>
      <c r="D287" s="13">
        <v>20</v>
      </c>
      <c r="E287" s="13" t="s">
        <v>1044</v>
      </c>
    </row>
    <row r="288" spans="1:5">
      <c r="A288" s="13" t="s">
        <v>1326</v>
      </c>
      <c r="B288" s="16" t="s">
        <v>133</v>
      </c>
      <c r="C288" s="16">
        <v>3041</v>
      </c>
      <c r="D288" s="13">
        <v>30</v>
      </c>
      <c r="E288" s="13" t="s">
        <v>1044</v>
      </c>
    </row>
    <row r="289" spans="1:5">
      <c r="A289" s="13" t="s">
        <v>1327</v>
      </c>
      <c r="B289" s="16" t="s">
        <v>133</v>
      </c>
      <c r="C289" s="16">
        <v>3041</v>
      </c>
      <c r="D289" s="13">
        <v>40</v>
      </c>
      <c r="E289" s="13" t="s">
        <v>1044</v>
      </c>
    </row>
    <row r="290" spans="1:5">
      <c r="A290" s="13" t="s">
        <v>1328</v>
      </c>
      <c r="B290" s="16" t="s">
        <v>133</v>
      </c>
      <c r="C290" s="16">
        <v>3041</v>
      </c>
      <c r="D290" s="13">
        <v>50</v>
      </c>
      <c r="E290" s="13" t="s">
        <v>1042</v>
      </c>
    </row>
    <row r="291" spans="1:5">
      <c r="A291" s="13" t="s">
        <v>1329</v>
      </c>
      <c r="B291" s="16" t="s">
        <v>133</v>
      </c>
      <c r="C291" s="16">
        <v>3041</v>
      </c>
      <c r="D291" s="13">
        <v>60</v>
      </c>
      <c r="E291" s="13" t="s">
        <v>1044</v>
      </c>
    </row>
    <row r="292" spans="1:5">
      <c r="A292" s="13" t="s">
        <v>1330</v>
      </c>
      <c r="B292" s="16" t="s">
        <v>133</v>
      </c>
      <c r="C292" s="16">
        <v>3041</v>
      </c>
      <c r="D292" s="13">
        <v>70</v>
      </c>
      <c r="E292" s="13" t="s">
        <v>1044</v>
      </c>
    </row>
    <row r="293" spans="1:5">
      <c r="A293" s="13" t="s">
        <v>1331</v>
      </c>
      <c r="B293" s="16" t="s">
        <v>133</v>
      </c>
      <c r="C293" s="16">
        <v>3041</v>
      </c>
      <c r="D293" s="13">
        <v>80</v>
      </c>
      <c r="E293" s="13" t="s">
        <v>1044</v>
      </c>
    </row>
    <row r="294" spans="1:5">
      <c r="A294" s="13" t="s">
        <v>1332</v>
      </c>
      <c r="B294" s="16" t="s">
        <v>133</v>
      </c>
      <c r="C294" s="16">
        <v>3041</v>
      </c>
      <c r="D294" s="13">
        <v>90</v>
      </c>
      <c r="E294" s="13" t="s">
        <v>1044</v>
      </c>
    </row>
    <row r="295" spans="1:5">
      <c r="A295" s="13" t="s">
        <v>1333</v>
      </c>
      <c r="B295" s="16" t="s">
        <v>133</v>
      </c>
      <c r="C295" s="16">
        <v>3041</v>
      </c>
      <c r="D295" s="13">
        <v>100</v>
      </c>
      <c r="E295" s="13" t="s">
        <v>1044</v>
      </c>
    </row>
    <row r="296" spans="1:5">
      <c r="A296" s="13">
        <v>304201</v>
      </c>
      <c r="B296" s="13" t="s">
        <v>228</v>
      </c>
      <c r="C296" s="13">
        <v>3042</v>
      </c>
      <c r="D296" s="13">
        <v>10</v>
      </c>
      <c r="E296" s="13" t="s">
        <v>1042</v>
      </c>
    </row>
    <row r="297" spans="1:5">
      <c r="A297" s="13">
        <v>304202</v>
      </c>
      <c r="B297" s="13" t="s">
        <v>228</v>
      </c>
      <c r="C297" s="13">
        <v>3042</v>
      </c>
      <c r="D297" s="13">
        <v>20</v>
      </c>
      <c r="E297" s="13" t="s">
        <v>1044</v>
      </c>
    </row>
    <row r="298" spans="1:5">
      <c r="A298" s="13">
        <v>304203</v>
      </c>
      <c r="B298" s="13" t="s">
        <v>228</v>
      </c>
      <c r="C298" s="13">
        <v>3042</v>
      </c>
      <c r="D298" s="13">
        <v>30</v>
      </c>
      <c r="E298" s="13" t="s">
        <v>1044</v>
      </c>
    </row>
    <row r="299" spans="1:5">
      <c r="A299" s="13">
        <v>304204</v>
      </c>
      <c r="B299" s="13" t="s">
        <v>228</v>
      </c>
      <c r="C299" s="13">
        <v>3042</v>
      </c>
      <c r="D299" s="13">
        <v>40</v>
      </c>
      <c r="E299" s="13" t="s">
        <v>1044</v>
      </c>
    </row>
    <row r="300" spans="1:5">
      <c r="A300" s="13">
        <v>304205</v>
      </c>
      <c r="B300" s="13" t="s">
        <v>228</v>
      </c>
      <c r="C300" s="13">
        <v>3042</v>
      </c>
      <c r="D300" s="13">
        <v>50</v>
      </c>
      <c r="E300" s="13" t="s">
        <v>1042</v>
      </c>
    </row>
    <row r="301" spans="1:5">
      <c r="A301" s="13">
        <v>304206</v>
      </c>
      <c r="B301" s="13" t="s">
        <v>228</v>
      </c>
      <c r="C301" s="13">
        <v>3042</v>
      </c>
      <c r="D301" s="13">
        <v>60</v>
      </c>
      <c r="E301" s="13" t="s">
        <v>1044</v>
      </c>
    </row>
    <row r="302" spans="1:5">
      <c r="A302" s="13">
        <v>304207</v>
      </c>
      <c r="B302" s="13" t="s">
        <v>228</v>
      </c>
      <c r="C302" s="13">
        <v>3042</v>
      </c>
      <c r="D302" s="13">
        <v>70</v>
      </c>
      <c r="E302" s="13" t="s">
        <v>1044</v>
      </c>
    </row>
    <row r="303" spans="1:5">
      <c r="A303" s="13">
        <v>304208</v>
      </c>
      <c r="B303" s="13" t="s">
        <v>228</v>
      </c>
      <c r="C303" s="13">
        <v>3042</v>
      </c>
      <c r="D303" s="13">
        <v>80</v>
      </c>
      <c r="E303" s="13" t="s">
        <v>1044</v>
      </c>
    </row>
    <row r="304" spans="1:5">
      <c r="A304" s="13">
        <v>304209</v>
      </c>
      <c r="B304" s="13" t="s">
        <v>228</v>
      </c>
      <c r="C304" s="13">
        <v>3042</v>
      </c>
      <c r="D304" s="13">
        <v>90</v>
      </c>
      <c r="E304" s="13" t="s">
        <v>1044</v>
      </c>
    </row>
    <row r="305" spans="1:5">
      <c r="A305" s="13">
        <v>304210</v>
      </c>
      <c r="B305" s="13" t="s">
        <v>228</v>
      </c>
      <c r="C305" s="13">
        <v>3042</v>
      </c>
      <c r="D305" s="13">
        <v>100</v>
      </c>
      <c r="E305" s="13" t="s">
        <v>1044</v>
      </c>
    </row>
    <row r="306" spans="1:5">
      <c r="A306" s="13">
        <v>304301</v>
      </c>
      <c r="B306" s="13" t="s">
        <v>114</v>
      </c>
      <c r="C306" s="13">
        <v>3043</v>
      </c>
      <c r="D306" s="13">
        <v>10</v>
      </c>
      <c r="E306" s="13" t="s">
        <v>1042</v>
      </c>
    </row>
    <row r="307" spans="1:5">
      <c r="A307" s="13">
        <v>304302</v>
      </c>
      <c r="B307" s="13" t="s">
        <v>114</v>
      </c>
      <c r="C307" s="13">
        <v>3043</v>
      </c>
      <c r="D307" s="13">
        <v>20</v>
      </c>
      <c r="E307" s="13" t="s">
        <v>1044</v>
      </c>
    </row>
    <row r="308" spans="1:5">
      <c r="A308" s="13">
        <v>304303</v>
      </c>
      <c r="B308" s="13" t="s">
        <v>114</v>
      </c>
      <c r="C308" s="13">
        <v>3043</v>
      </c>
      <c r="D308" s="13">
        <v>30</v>
      </c>
      <c r="E308" s="13" t="s">
        <v>1044</v>
      </c>
    </row>
    <row r="309" spans="1:5">
      <c r="A309" s="13">
        <v>304304</v>
      </c>
      <c r="B309" s="13" t="s">
        <v>114</v>
      </c>
      <c r="C309" s="13">
        <v>3043</v>
      </c>
      <c r="D309" s="13">
        <v>40</v>
      </c>
      <c r="E309" s="13" t="s">
        <v>1044</v>
      </c>
    </row>
    <row r="310" spans="1:5">
      <c r="A310" s="13">
        <v>304305</v>
      </c>
      <c r="B310" s="13" t="s">
        <v>114</v>
      </c>
      <c r="C310" s="13">
        <v>3043</v>
      </c>
      <c r="D310" s="13">
        <v>50</v>
      </c>
      <c r="E310" s="13" t="s">
        <v>1042</v>
      </c>
    </row>
    <row r="311" spans="1:5">
      <c r="A311" s="13">
        <v>304306</v>
      </c>
      <c r="B311" s="13" t="s">
        <v>114</v>
      </c>
      <c r="C311" s="13">
        <v>3043</v>
      </c>
      <c r="D311" s="13">
        <v>60</v>
      </c>
      <c r="E311" s="13" t="s">
        <v>1044</v>
      </c>
    </row>
    <row r="312" spans="1:5">
      <c r="A312" s="13">
        <v>304307</v>
      </c>
      <c r="B312" s="13" t="s">
        <v>114</v>
      </c>
      <c r="C312" s="13">
        <v>3043</v>
      </c>
      <c r="D312" s="13">
        <v>70</v>
      </c>
      <c r="E312" s="13" t="s">
        <v>1044</v>
      </c>
    </row>
    <row r="313" spans="1:5">
      <c r="A313" s="13">
        <v>304308</v>
      </c>
      <c r="B313" s="13" t="s">
        <v>114</v>
      </c>
      <c r="C313" s="13">
        <v>3043</v>
      </c>
      <c r="D313" s="13">
        <v>80</v>
      </c>
      <c r="E313" s="13" t="s">
        <v>1044</v>
      </c>
    </row>
    <row r="314" spans="1:5">
      <c r="A314" s="13">
        <v>304309</v>
      </c>
      <c r="B314" s="13" t="s">
        <v>114</v>
      </c>
      <c r="C314" s="13">
        <v>3043</v>
      </c>
      <c r="D314" s="13">
        <v>90</v>
      </c>
      <c r="E314" s="13" t="s">
        <v>1044</v>
      </c>
    </row>
    <row r="315" spans="1:5">
      <c r="A315" s="13">
        <v>304310</v>
      </c>
      <c r="B315" s="13" t="s">
        <v>114</v>
      </c>
      <c r="C315" s="13">
        <v>3043</v>
      </c>
      <c r="D315" s="13">
        <v>100</v>
      </c>
      <c r="E315" s="13" t="s">
        <v>1044</v>
      </c>
    </row>
    <row r="316" spans="1:5">
      <c r="A316" s="13">
        <v>304401</v>
      </c>
      <c r="B316" s="13" t="s">
        <v>237</v>
      </c>
      <c r="C316" s="13">
        <v>3044</v>
      </c>
      <c r="D316" s="13">
        <v>10</v>
      </c>
      <c r="E316" s="13" t="s">
        <v>1042</v>
      </c>
    </row>
    <row r="317" spans="1:5">
      <c r="A317" s="13">
        <v>304402</v>
      </c>
      <c r="B317" s="13" t="s">
        <v>237</v>
      </c>
      <c r="C317" s="13">
        <v>3044</v>
      </c>
      <c r="D317" s="13">
        <v>20</v>
      </c>
      <c r="E317" s="13" t="s">
        <v>1044</v>
      </c>
    </row>
    <row r="318" spans="1:5">
      <c r="A318" s="13">
        <v>304403</v>
      </c>
      <c r="B318" s="13" t="s">
        <v>237</v>
      </c>
      <c r="C318" s="13">
        <v>3044</v>
      </c>
      <c r="D318" s="13">
        <v>30</v>
      </c>
      <c r="E318" s="13" t="s">
        <v>1044</v>
      </c>
    </row>
    <row r="319" spans="1:5">
      <c r="A319" s="13">
        <v>304404</v>
      </c>
      <c r="B319" s="13" t="s">
        <v>237</v>
      </c>
      <c r="C319" s="13">
        <v>3044</v>
      </c>
      <c r="D319" s="13">
        <v>40</v>
      </c>
      <c r="E319" s="13" t="s">
        <v>1044</v>
      </c>
    </row>
    <row r="320" spans="1:5">
      <c r="A320" s="13">
        <v>304405</v>
      </c>
      <c r="B320" s="13" t="s">
        <v>237</v>
      </c>
      <c r="C320" s="13">
        <v>3044</v>
      </c>
      <c r="D320" s="13">
        <v>50</v>
      </c>
      <c r="E320" s="13" t="s">
        <v>1042</v>
      </c>
    </row>
    <row r="321" spans="1:5">
      <c r="A321" s="13">
        <v>304406</v>
      </c>
      <c r="B321" s="13" t="s">
        <v>237</v>
      </c>
      <c r="C321" s="13">
        <v>3044</v>
      </c>
      <c r="D321" s="13">
        <v>60</v>
      </c>
      <c r="E321" s="13" t="s">
        <v>1044</v>
      </c>
    </row>
    <row r="322" spans="1:5">
      <c r="A322" s="13">
        <v>304407</v>
      </c>
      <c r="B322" s="13" t="s">
        <v>237</v>
      </c>
      <c r="C322" s="13">
        <v>3044</v>
      </c>
      <c r="D322" s="13">
        <v>70</v>
      </c>
      <c r="E322" s="13" t="s">
        <v>1044</v>
      </c>
    </row>
    <row r="323" spans="1:5">
      <c r="A323" s="13">
        <v>304408</v>
      </c>
      <c r="B323" s="13" t="s">
        <v>237</v>
      </c>
      <c r="C323" s="13">
        <v>3044</v>
      </c>
      <c r="D323" s="13">
        <v>80</v>
      </c>
      <c r="E323" s="13" t="s">
        <v>1044</v>
      </c>
    </row>
    <row r="324" spans="1:5">
      <c r="A324" s="13">
        <v>304409</v>
      </c>
      <c r="B324" s="13" t="s">
        <v>237</v>
      </c>
      <c r="C324" s="13">
        <v>3044</v>
      </c>
      <c r="D324" s="13">
        <v>90</v>
      </c>
      <c r="E324" s="13" t="s">
        <v>1044</v>
      </c>
    </row>
    <row r="325" spans="1:5">
      <c r="A325" s="13">
        <v>304410</v>
      </c>
      <c r="B325" s="13" t="s">
        <v>237</v>
      </c>
      <c r="C325" s="13">
        <v>3044</v>
      </c>
      <c r="D325" s="13">
        <v>100</v>
      </c>
      <c r="E325" s="13" t="s">
        <v>1044</v>
      </c>
    </row>
    <row r="326" spans="1:5">
      <c r="A326" s="13">
        <v>304501</v>
      </c>
      <c r="B326" s="16" t="s">
        <v>240</v>
      </c>
      <c r="C326" s="13">
        <v>3045</v>
      </c>
      <c r="D326" s="13">
        <v>10</v>
      </c>
      <c r="E326" s="13" t="s">
        <v>1042</v>
      </c>
    </row>
    <row r="327" spans="1:5">
      <c r="A327" s="13">
        <v>304502</v>
      </c>
      <c r="B327" s="16" t="s">
        <v>240</v>
      </c>
      <c r="C327" s="13">
        <v>3045</v>
      </c>
      <c r="D327" s="13">
        <v>20</v>
      </c>
      <c r="E327" s="13" t="s">
        <v>1044</v>
      </c>
    </row>
    <row r="328" spans="1:5">
      <c r="A328" s="13">
        <v>304503</v>
      </c>
      <c r="B328" s="16" t="s">
        <v>240</v>
      </c>
      <c r="C328" s="13">
        <v>3045</v>
      </c>
      <c r="D328" s="13">
        <v>30</v>
      </c>
      <c r="E328" s="13" t="s">
        <v>1044</v>
      </c>
    </row>
    <row r="329" spans="1:5">
      <c r="A329" s="13">
        <v>304504</v>
      </c>
      <c r="B329" s="16" t="s">
        <v>240</v>
      </c>
      <c r="C329" s="13">
        <v>3045</v>
      </c>
      <c r="D329" s="13">
        <v>40</v>
      </c>
      <c r="E329" s="13" t="s">
        <v>1044</v>
      </c>
    </row>
    <row r="330" spans="1:5">
      <c r="A330" s="13">
        <v>304505</v>
      </c>
      <c r="B330" s="16" t="s">
        <v>240</v>
      </c>
      <c r="C330" s="13">
        <v>3045</v>
      </c>
      <c r="D330" s="13">
        <v>50</v>
      </c>
      <c r="E330" s="13" t="s">
        <v>1042</v>
      </c>
    </row>
    <row r="331" spans="1:5">
      <c r="A331" s="13">
        <v>304506</v>
      </c>
      <c r="B331" s="16" t="s">
        <v>240</v>
      </c>
      <c r="C331" s="13">
        <v>3045</v>
      </c>
      <c r="D331" s="13">
        <v>60</v>
      </c>
      <c r="E331" s="13" t="s">
        <v>1044</v>
      </c>
    </row>
    <row r="332" spans="1:5">
      <c r="A332" s="13">
        <v>304507</v>
      </c>
      <c r="B332" s="16" t="s">
        <v>240</v>
      </c>
      <c r="C332" s="13">
        <v>3045</v>
      </c>
      <c r="D332" s="13">
        <v>70</v>
      </c>
      <c r="E332" s="13" t="s">
        <v>1044</v>
      </c>
    </row>
    <row r="333" spans="1:5">
      <c r="A333" s="13">
        <v>304508</v>
      </c>
      <c r="B333" s="16" t="s">
        <v>240</v>
      </c>
      <c r="C333" s="13">
        <v>3045</v>
      </c>
      <c r="D333" s="13">
        <v>80</v>
      </c>
      <c r="E333" s="13" t="s">
        <v>1044</v>
      </c>
    </row>
    <row r="334" spans="1:5">
      <c r="A334" s="13">
        <v>304509</v>
      </c>
      <c r="B334" s="16" t="s">
        <v>240</v>
      </c>
      <c r="C334" s="13">
        <v>3045</v>
      </c>
      <c r="D334" s="13">
        <v>90</v>
      </c>
      <c r="E334" s="13" t="s">
        <v>1044</v>
      </c>
    </row>
    <row r="335" spans="1:5">
      <c r="A335" s="13">
        <v>304510</v>
      </c>
      <c r="B335" s="16" t="s">
        <v>240</v>
      </c>
      <c r="C335" s="13">
        <v>3045</v>
      </c>
      <c r="D335" s="13">
        <v>100</v>
      </c>
      <c r="E335" s="13" t="s">
        <v>1044</v>
      </c>
    </row>
    <row r="336" spans="1:5">
      <c r="A336" s="13">
        <v>304601</v>
      </c>
      <c r="B336" s="17" t="s">
        <v>244</v>
      </c>
      <c r="C336" s="13">
        <v>3046</v>
      </c>
      <c r="D336" s="13">
        <v>10</v>
      </c>
      <c r="E336" s="13" t="s">
        <v>1042</v>
      </c>
    </row>
    <row r="337" spans="1:5">
      <c r="A337" s="13">
        <v>304602</v>
      </c>
      <c r="B337" s="17" t="s">
        <v>244</v>
      </c>
      <c r="C337" s="13">
        <v>3046</v>
      </c>
      <c r="D337" s="13">
        <v>20</v>
      </c>
      <c r="E337" s="13" t="s">
        <v>1044</v>
      </c>
    </row>
    <row r="338" spans="1:5">
      <c r="A338" s="13">
        <v>304603</v>
      </c>
      <c r="B338" s="17" t="s">
        <v>244</v>
      </c>
      <c r="C338" s="13">
        <v>3046</v>
      </c>
      <c r="D338" s="13">
        <v>30</v>
      </c>
      <c r="E338" s="13" t="s">
        <v>1044</v>
      </c>
    </row>
    <row r="339" spans="1:5">
      <c r="A339" s="13">
        <v>304604</v>
      </c>
      <c r="B339" s="17" t="s">
        <v>244</v>
      </c>
      <c r="C339" s="13">
        <v>3046</v>
      </c>
      <c r="D339" s="13">
        <v>40</v>
      </c>
      <c r="E339" s="13" t="s">
        <v>1044</v>
      </c>
    </row>
    <row r="340" spans="1:5">
      <c r="A340" s="13">
        <v>304605</v>
      </c>
      <c r="B340" s="17" t="s">
        <v>244</v>
      </c>
      <c r="C340" s="13">
        <v>3046</v>
      </c>
      <c r="D340" s="13">
        <v>50</v>
      </c>
      <c r="E340" s="13" t="s">
        <v>1042</v>
      </c>
    </row>
    <row r="341" spans="1:5">
      <c r="A341" s="13">
        <v>304606</v>
      </c>
      <c r="B341" s="17" t="s">
        <v>244</v>
      </c>
      <c r="C341" s="13">
        <v>3046</v>
      </c>
      <c r="D341" s="13">
        <v>60</v>
      </c>
      <c r="E341" s="13" t="s">
        <v>1044</v>
      </c>
    </row>
    <row r="342" spans="1:5">
      <c r="A342" s="13">
        <v>304607</v>
      </c>
      <c r="B342" s="17" t="s">
        <v>244</v>
      </c>
      <c r="C342" s="13">
        <v>3046</v>
      </c>
      <c r="D342" s="13">
        <v>70</v>
      </c>
      <c r="E342" s="13" t="s">
        <v>1044</v>
      </c>
    </row>
    <row r="343" spans="1:5">
      <c r="A343" s="13">
        <v>304608</v>
      </c>
      <c r="B343" s="17" t="s">
        <v>244</v>
      </c>
      <c r="C343" s="13">
        <v>3046</v>
      </c>
      <c r="D343" s="13">
        <v>80</v>
      </c>
      <c r="E343" s="13" t="s">
        <v>1044</v>
      </c>
    </row>
    <row r="344" spans="1:5">
      <c r="A344" s="13">
        <v>304609</v>
      </c>
      <c r="B344" s="17" t="s">
        <v>244</v>
      </c>
      <c r="C344" s="13">
        <v>3046</v>
      </c>
      <c r="D344" s="13">
        <v>90</v>
      </c>
      <c r="E344" s="13" t="s">
        <v>1044</v>
      </c>
    </row>
    <row r="345" spans="1:5">
      <c r="A345" s="13">
        <v>304610</v>
      </c>
      <c r="B345" s="17" t="s">
        <v>244</v>
      </c>
      <c r="C345" s="13">
        <v>3046</v>
      </c>
      <c r="D345" s="13">
        <v>100</v>
      </c>
      <c r="E345" s="13" t="s">
        <v>1044</v>
      </c>
    </row>
    <row r="346" spans="1:5">
      <c r="A346" s="13">
        <v>304701</v>
      </c>
      <c r="B346" s="16" t="s">
        <v>1334</v>
      </c>
      <c r="C346" s="13">
        <v>3047</v>
      </c>
      <c r="D346" s="13">
        <v>10</v>
      </c>
      <c r="E346" s="13" t="s">
        <v>1042</v>
      </c>
    </row>
    <row r="347" spans="1:5">
      <c r="A347" s="13">
        <v>304702</v>
      </c>
      <c r="B347" s="16" t="s">
        <v>1334</v>
      </c>
      <c r="C347" s="13">
        <v>3047</v>
      </c>
      <c r="D347" s="13">
        <v>20</v>
      </c>
      <c r="E347" s="13" t="s">
        <v>1044</v>
      </c>
    </row>
    <row r="348" spans="1:5">
      <c r="A348" s="13">
        <v>304703</v>
      </c>
      <c r="B348" s="16" t="s">
        <v>1334</v>
      </c>
      <c r="C348" s="13">
        <v>3047</v>
      </c>
      <c r="D348" s="13">
        <v>30</v>
      </c>
      <c r="E348" s="13" t="s">
        <v>1044</v>
      </c>
    </row>
    <row r="349" spans="1:5">
      <c r="A349" s="13">
        <v>304704</v>
      </c>
      <c r="B349" s="16" t="s">
        <v>1334</v>
      </c>
      <c r="C349" s="13">
        <v>3047</v>
      </c>
      <c r="D349" s="13">
        <v>40</v>
      </c>
      <c r="E349" s="13" t="s">
        <v>1044</v>
      </c>
    </row>
    <row r="350" spans="1:5">
      <c r="A350" s="13">
        <v>304705</v>
      </c>
      <c r="B350" s="16" t="s">
        <v>1334</v>
      </c>
      <c r="C350" s="13">
        <v>3047</v>
      </c>
      <c r="D350" s="13">
        <v>50</v>
      </c>
      <c r="E350" s="13" t="s">
        <v>1042</v>
      </c>
    </row>
    <row r="351" spans="1:5">
      <c r="A351" s="13">
        <v>304706</v>
      </c>
      <c r="B351" s="16" t="s">
        <v>1334</v>
      </c>
      <c r="C351" s="13">
        <v>3047</v>
      </c>
      <c r="D351" s="13">
        <v>60</v>
      </c>
      <c r="E351" s="13" t="s">
        <v>1044</v>
      </c>
    </row>
    <row r="352" spans="1:5">
      <c r="A352" s="13">
        <v>304707</v>
      </c>
      <c r="B352" s="16" t="s">
        <v>1334</v>
      </c>
      <c r="C352" s="13">
        <v>3047</v>
      </c>
      <c r="D352" s="13">
        <v>70</v>
      </c>
      <c r="E352" s="13" t="s">
        <v>1044</v>
      </c>
    </row>
    <row r="353" spans="1:5">
      <c r="A353" s="13">
        <v>304708</v>
      </c>
      <c r="B353" s="16" t="s">
        <v>1334</v>
      </c>
      <c r="C353" s="13">
        <v>3047</v>
      </c>
      <c r="D353" s="13">
        <v>80</v>
      </c>
      <c r="E353" s="13" t="s">
        <v>1044</v>
      </c>
    </row>
    <row r="354" spans="1:5">
      <c r="A354" s="13">
        <v>304709</v>
      </c>
      <c r="B354" s="16" t="s">
        <v>1334</v>
      </c>
      <c r="C354" s="13">
        <v>3047</v>
      </c>
      <c r="D354" s="13">
        <v>90</v>
      </c>
      <c r="E354" s="13" t="s">
        <v>1044</v>
      </c>
    </row>
    <row r="355" spans="1:5">
      <c r="A355" s="13">
        <v>304710</v>
      </c>
      <c r="B355" s="16" t="s">
        <v>1334</v>
      </c>
      <c r="C355" s="13">
        <v>3047</v>
      </c>
      <c r="D355" s="13">
        <v>100</v>
      </c>
      <c r="E355" s="13" t="s">
        <v>1044</v>
      </c>
    </row>
    <row r="356" spans="1:5">
      <c r="A356" s="13">
        <v>304801</v>
      </c>
      <c r="B356" s="17" t="s">
        <v>250</v>
      </c>
      <c r="C356" s="13">
        <v>3048</v>
      </c>
      <c r="D356" s="13">
        <v>10</v>
      </c>
      <c r="E356" s="13" t="s">
        <v>1042</v>
      </c>
    </row>
    <row r="357" spans="1:5">
      <c r="A357" s="13">
        <v>304802</v>
      </c>
      <c r="B357" s="17" t="s">
        <v>250</v>
      </c>
      <c r="C357" s="13">
        <v>3048</v>
      </c>
      <c r="D357" s="13">
        <v>20</v>
      </c>
      <c r="E357" s="13" t="s">
        <v>1044</v>
      </c>
    </row>
    <row r="358" spans="1:5">
      <c r="A358" s="13">
        <v>304803</v>
      </c>
      <c r="B358" s="17" t="s">
        <v>250</v>
      </c>
      <c r="C358" s="13">
        <v>3048</v>
      </c>
      <c r="D358" s="13">
        <v>30</v>
      </c>
      <c r="E358" s="13" t="s">
        <v>1044</v>
      </c>
    </row>
    <row r="359" spans="1:5">
      <c r="A359" s="13">
        <v>304804</v>
      </c>
      <c r="B359" s="17" t="s">
        <v>250</v>
      </c>
      <c r="C359" s="13">
        <v>3048</v>
      </c>
      <c r="D359" s="13">
        <v>40</v>
      </c>
      <c r="E359" s="13" t="s">
        <v>1044</v>
      </c>
    </row>
    <row r="360" spans="1:5">
      <c r="A360" s="13">
        <v>304805</v>
      </c>
      <c r="B360" s="17" t="s">
        <v>250</v>
      </c>
      <c r="C360" s="13">
        <v>3048</v>
      </c>
      <c r="D360" s="13">
        <v>50</v>
      </c>
      <c r="E360" s="13" t="s">
        <v>1042</v>
      </c>
    </row>
    <row r="361" spans="1:5">
      <c r="A361" s="13">
        <v>304806</v>
      </c>
      <c r="B361" s="17" t="s">
        <v>250</v>
      </c>
      <c r="C361" s="13">
        <v>3048</v>
      </c>
      <c r="D361" s="13">
        <v>60</v>
      </c>
      <c r="E361" s="13" t="s">
        <v>1044</v>
      </c>
    </row>
    <row r="362" spans="1:5">
      <c r="A362" s="13">
        <v>304807</v>
      </c>
      <c r="B362" s="17" t="s">
        <v>250</v>
      </c>
      <c r="C362" s="13">
        <v>3048</v>
      </c>
      <c r="D362" s="13">
        <v>70</v>
      </c>
      <c r="E362" s="13" t="s">
        <v>1044</v>
      </c>
    </row>
    <row r="363" spans="1:5">
      <c r="A363" s="13">
        <v>304808</v>
      </c>
      <c r="B363" s="17" t="s">
        <v>250</v>
      </c>
      <c r="C363" s="13">
        <v>3048</v>
      </c>
      <c r="D363" s="13">
        <v>80</v>
      </c>
      <c r="E363" s="13" t="s">
        <v>1044</v>
      </c>
    </row>
    <row r="364" spans="1:5">
      <c r="A364" s="13">
        <v>304809</v>
      </c>
      <c r="B364" s="17" t="s">
        <v>250</v>
      </c>
      <c r="C364" s="13">
        <v>3048</v>
      </c>
      <c r="D364" s="13">
        <v>90</v>
      </c>
      <c r="E364" s="13" t="s">
        <v>1044</v>
      </c>
    </row>
    <row r="365" spans="1:5">
      <c r="A365" s="13">
        <v>304810</v>
      </c>
      <c r="B365" s="17" t="s">
        <v>250</v>
      </c>
      <c r="C365" s="13">
        <v>3048</v>
      </c>
      <c r="D365" s="13">
        <v>100</v>
      </c>
      <c r="E365" s="13" t="s">
        <v>1044</v>
      </c>
    </row>
    <row r="366" spans="1:5">
      <c r="A366" s="13">
        <v>304901</v>
      </c>
      <c r="B366" s="16" t="s">
        <v>1335</v>
      </c>
      <c r="C366" s="13">
        <v>3049</v>
      </c>
      <c r="D366" s="13">
        <v>10</v>
      </c>
      <c r="E366" s="13" t="s">
        <v>1042</v>
      </c>
    </row>
    <row r="367" spans="1:5">
      <c r="A367" s="13">
        <v>304902</v>
      </c>
      <c r="B367" s="16" t="s">
        <v>1335</v>
      </c>
      <c r="C367" s="13">
        <v>3049</v>
      </c>
      <c r="D367" s="13">
        <v>20</v>
      </c>
      <c r="E367" s="13" t="s">
        <v>1044</v>
      </c>
    </row>
    <row r="368" spans="1:5">
      <c r="A368" s="13">
        <v>304903</v>
      </c>
      <c r="B368" s="16" t="s">
        <v>1335</v>
      </c>
      <c r="C368" s="13">
        <v>3049</v>
      </c>
      <c r="D368" s="13">
        <v>30</v>
      </c>
      <c r="E368" s="13" t="s">
        <v>1044</v>
      </c>
    </row>
    <row r="369" spans="1:5">
      <c r="A369" s="13">
        <v>304904</v>
      </c>
      <c r="B369" s="16" t="s">
        <v>1335</v>
      </c>
      <c r="C369" s="13">
        <v>3049</v>
      </c>
      <c r="D369" s="13">
        <v>40</v>
      </c>
      <c r="E369" s="13" t="s">
        <v>1044</v>
      </c>
    </row>
    <row r="370" spans="1:5">
      <c r="A370" s="13">
        <v>304905</v>
      </c>
      <c r="B370" s="16" t="s">
        <v>1335</v>
      </c>
      <c r="C370" s="13">
        <v>3049</v>
      </c>
      <c r="D370" s="13">
        <v>50</v>
      </c>
      <c r="E370" s="13" t="s">
        <v>1042</v>
      </c>
    </row>
    <row r="371" spans="1:5">
      <c r="A371" s="13">
        <v>304906</v>
      </c>
      <c r="B371" s="16" t="s">
        <v>1335</v>
      </c>
      <c r="C371" s="13">
        <v>3049</v>
      </c>
      <c r="D371" s="13">
        <v>60</v>
      </c>
      <c r="E371" s="13" t="s">
        <v>1044</v>
      </c>
    </row>
    <row r="372" spans="1:5">
      <c r="A372" s="13">
        <v>304907</v>
      </c>
      <c r="B372" s="16" t="s">
        <v>1335</v>
      </c>
      <c r="C372" s="13">
        <v>3049</v>
      </c>
      <c r="D372" s="13">
        <v>70</v>
      </c>
      <c r="E372" s="13" t="s">
        <v>1044</v>
      </c>
    </row>
    <row r="373" spans="1:5">
      <c r="A373" s="13">
        <v>304908</v>
      </c>
      <c r="B373" s="16" t="s">
        <v>1335</v>
      </c>
      <c r="C373" s="13">
        <v>3049</v>
      </c>
      <c r="D373" s="13">
        <v>80</v>
      </c>
      <c r="E373" s="13" t="s">
        <v>1044</v>
      </c>
    </row>
    <row r="374" spans="1:5">
      <c r="A374" s="13">
        <v>304909</v>
      </c>
      <c r="B374" s="16" t="s">
        <v>1335</v>
      </c>
      <c r="C374" s="13">
        <v>3049</v>
      </c>
      <c r="D374" s="13">
        <v>90</v>
      </c>
      <c r="E374" s="13" t="s">
        <v>1044</v>
      </c>
    </row>
    <row r="375" spans="1:5">
      <c r="A375" s="13">
        <v>304910</v>
      </c>
      <c r="B375" s="16" t="s">
        <v>1335</v>
      </c>
      <c r="C375" s="13">
        <v>3049</v>
      </c>
      <c r="D375" s="13">
        <v>100</v>
      </c>
      <c r="E375" s="13" t="s">
        <v>1044</v>
      </c>
    </row>
    <row r="376" spans="1:5">
      <c r="A376" s="13">
        <v>305001</v>
      </c>
      <c r="B376" s="17" t="s">
        <v>208</v>
      </c>
      <c r="C376" s="13">
        <v>3050</v>
      </c>
      <c r="D376" s="13">
        <v>10</v>
      </c>
      <c r="E376" s="13" t="s">
        <v>1042</v>
      </c>
    </row>
    <row r="377" spans="1:5">
      <c r="A377" s="13">
        <v>305002</v>
      </c>
      <c r="B377" s="17" t="s">
        <v>208</v>
      </c>
      <c r="C377" s="13">
        <v>3050</v>
      </c>
      <c r="D377" s="13">
        <v>20</v>
      </c>
      <c r="E377" s="13" t="s">
        <v>1044</v>
      </c>
    </row>
    <row r="378" spans="1:5">
      <c r="A378" s="13">
        <v>305003</v>
      </c>
      <c r="B378" s="17" t="s">
        <v>208</v>
      </c>
      <c r="C378" s="13">
        <v>3050</v>
      </c>
      <c r="D378" s="13">
        <v>30</v>
      </c>
      <c r="E378" s="13" t="s">
        <v>1044</v>
      </c>
    </row>
    <row r="379" spans="1:5">
      <c r="A379" s="13">
        <v>305004</v>
      </c>
      <c r="B379" s="17" t="s">
        <v>208</v>
      </c>
      <c r="C379" s="13">
        <v>3050</v>
      </c>
      <c r="D379" s="13">
        <v>40</v>
      </c>
      <c r="E379" s="13" t="s">
        <v>1044</v>
      </c>
    </row>
    <row r="380" spans="1:5">
      <c r="A380" s="13">
        <v>305005</v>
      </c>
      <c r="B380" s="17" t="s">
        <v>208</v>
      </c>
      <c r="C380" s="13">
        <v>3050</v>
      </c>
      <c r="D380" s="13">
        <v>50</v>
      </c>
      <c r="E380" s="13" t="s">
        <v>1042</v>
      </c>
    </row>
    <row r="381" spans="1:5">
      <c r="A381" s="13">
        <v>305006</v>
      </c>
      <c r="B381" s="17" t="s">
        <v>208</v>
      </c>
      <c r="C381" s="13">
        <v>3050</v>
      </c>
      <c r="D381" s="13">
        <v>60</v>
      </c>
      <c r="E381" s="13" t="s">
        <v>1044</v>
      </c>
    </row>
    <row r="382" spans="1:5">
      <c r="A382" s="13">
        <v>305007</v>
      </c>
      <c r="B382" s="17" t="s">
        <v>208</v>
      </c>
      <c r="C382" s="13">
        <v>3050</v>
      </c>
      <c r="D382" s="13">
        <v>70</v>
      </c>
      <c r="E382" s="13" t="s">
        <v>1044</v>
      </c>
    </row>
    <row r="383" spans="1:5">
      <c r="A383" s="13">
        <v>305008</v>
      </c>
      <c r="B383" s="17" t="s">
        <v>208</v>
      </c>
      <c r="C383" s="13">
        <v>3050</v>
      </c>
      <c r="D383" s="13">
        <v>80</v>
      </c>
      <c r="E383" s="13" t="s">
        <v>1044</v>
      </c>
    </row>
    <row r="384" spans="1:5">
      <c r="A384" s="13">
        <v>305009</v>
      </c>
      <c r="B384" s="17" t="s">
        <v>208</v>
      </c>
      <c r="C384" s="13">
        <v>3050</v>
      </c>
      <c r="D384" s="13">
        <v>90</v>
      </c>
      <c r="E384" s="13" t="s">
        <v>1044</v>
      </c>
    </row>
    <row r="385" spans="1:5">
      <c r="A385" s="13">
        <v>305010</v>
      </c>
      <c r="B385" s="17" t="s">
        <v>208</v>
      </c>
      <c r="C385" s="13">
        <v>3050</v>
      </c>
      <c r="D385" s="13">
        <v>100</v>
      </c>
      <c r="E385" s="13" t="s">
        <v>1044</v>
      </c>
    </row>
    <row r="386" spans="1:5">
      <c r="A386" s="13">
        <v>305101</v>
      </c>
      <c r="B386" s="16" t="s">
        <v>1336</v>
      </c>
      <c r="C386" s="13">
        <v>3051</v>
      </c>
      <c r="D386" s="13">
        <v>10</v>
      </c>
      <c r="E386" s="13" t="s">
        <v>1042</v>
      </c>
    </row>
    <row r="387" spans="1:5">
      <c r="A387" s="13">
        <v>305102</v>
      </c>
      <c r="B387" s="16" t="s">
        <v>1336</v>
      </c>
      <c r="C387" s="13">
        <v>3051</v>
      </c>
      <c r="D387" s="13">
        <v>20</v>
      </c>
      <c r="E387" s="13" t="s">
        <v>1044</v>
      </c>
    </row>
    <row r="388" spans="1:5">
      <c r="A388" s="13">
        <v>305103</v>
      </c>
      <c r="B388" s="16" t="s">
        <v>1336</v>
      </c>
      <c r="C388" s="13">
        <v>3051</v>
      </c>
      <c r="D388" s="13">
        <v>30</v>
      </c>
      <c r="E388" s="13" t="s">
        <v>1044</v>
      </c>
    </row>
    <row r="389" spans="1:5">
      <c r="A389" s="13">
        <v>305104</v>
      </c>
      <c r="B389" s="16" t="s">
        <v>1336</v>
      </c>
      <c r="C389" s="13">
        <v>3051</v>
      </c>
      <c r="D389" s="13">
        <v>40</v>
      </c>
      <c r="E389" s="13" t="s">
        <v>1044</v>
      </c>
    </row>
    <row r="390" spans="1:5">
      <c r="A390" s="13">
        <v>305105</v>
      </c>
      <c r="B390" s="16" t="s">
        <v>1336</v>
      </c>
      <c r="C390" s="13">
        <v>3051</v>
      </c>
      <c r="D390" s="13">
        <v>50</v>
      </c>
      <c r="E390" s="13" t="s">
        <v>1042</v>
      </c>
    </row>
    <row r="391" spans="1:5">
      <c r="A391" s="13">
        <v>305106</v>
      </c>
      <c r="B391" s="16" t="s">
        <v>1336</v>
      </c>
      <c r="C391" s="13">
        <v>3051</v>
      </c>
      <c r="D391" s="13">
        <v>60</v>
      </c>
      <c r="E391" s="13" t="s">
        <v>1044</v>
      </c>
    </row>
    <row r="392" spans="1:5">
      <c r="A392" s="13">
        <v>305107</v>
      </c>
      <c r="B392" s="16" t="s">
        <v>1336</v>
      </c>
      <c r="C392" s="13">
        <v>3051</v>
      </c>
      <c r="D392" s="13">
        <v>70</v>
      </c>
      <c r="E392" s="13" t="s">
        <v>1044</v>
      </c>
    </row>
    <row r="393" spans="1:5">
      <c r="A393" s="13">
        <v>305108</v>
      </c>
      <c r="B393" s="16" t="s">
        <v>1336</v>
      </c>
      <c r="C393" s="13">
        <v>3051</v>
      </c>
      <c r="D393" s="13">
        <v>80</v>
      </c>
      <c r="E393" s="13" t="s">
        <v>1044</v>
      </c>
    </row>
    <row r="394" spans="1:5">
      <c r="A394" s="13">
        <v>305109</v>
      </c>
      <c r="B394" s="16" t="s">
        <v>1336</v>
      </c>
      <c r="C394" s="13">
        <v>3051</v>
      </c>
      <c r="D394" s="13">
        <v>90</v>
      </c>
      <c r="E394" s="13" t="s">
        <v>1044</v>
      </c>
    </row>
    <row r="395" spans="1:5">
      <c r="A395" s="13">
        <v>305110</v>
      </c>
      <c r="B395" s="16" t="s">
        <v>1336</v>
      </c>
      <c r="C395" s="13">
        <v>3051</v>
      </c>
      <c r="D395" s="13">
        <v>100</v>
      </c>
      <c r="E395" s="13" t="s">
        <v>1044</v>
      </c>
    </row>
    <row r="396" spans="1:5">
      <c r="A396" s="13">
        <v>305201</v>
      </c>
      <c r="B396" s="17" t="s">
        <v>261</v>
      </c>
      <c r="C396" s="13">
        <v>3052</v>
      </c>
      <c r="D396" s="13">
        <v>10</v>
      </c>
      <c r="E396" s="13" t="s">
        <v>1042</v>
      </c>
    </row>
    <row r="397" spans="1:5">
      <c r="A397" s="13">
        <v>305202</v>
      </c>
      <c r="B397" s="17" t="s">
        <v>261</v>
      </c>
      <c r="C397" s="13">
        <v>3052</v>
      </c>
      <c r="D397" s="13">
        <v>20</v>
      </c>
      <c r="E397" s="13" t="s">
        <v>1044</v>
      </c>
    </row>
    <row r="398" spans="1:5">
      <c r="A398" s="13">
        <v>305203</v>
      </c>
      <c r="B398" s="17" t="s">
        <v>261</v>
      </c>
      <c r="C398" s="13">
        <v>3052</v>
      </c>
      <c r="D398" s="13">
        <v>30</v>
      </c>
      <c r="E398" s="13" t="s">
        <v>1044</v>
      </c>
    </row>
    <row r="399" spans="1:5">
      <c r="A399" s="13">
        <v>305204</v>
      </c>
      <c r="B399" s="17" t="s">
        <v>261</v>
      </c>
      <c r="C399" s="13">
        <v>3052</v>
      </c>
      <c r="D399" s="13">
        <v>40</v>
      </c>
      <c r="E399" s="13" t="s">
        <v>1044</v>
      </c>
    </row>
    <row r="400" spans="1:5">
      <c r="A400" s="13">
        <v>305205</v>
      </c>
      <c r="B400" s="17" t="s">
        <v>261</v>
      </c>
      <c r="C400" s="13">
        <v>3052</v>
      </c>
      <c r="D400" s="13">
        <v>50</v>
      </c>
      <c r="E400" s="13" t="s">
        <v>1042</v>
      </c>
    </row>
    <row r="401" spans="1:5">
      <c r="A401" s="13">
        <v>305206</v>
      </c>
      <c r="B401" s="17" t="s">
        <v>261</v>
      </c>
      <c r="C401" s="13">
        <v>3052</v>
      </c>
      <c r="D401" s="13">
        <v>60</v>
      </c>
      <c r="E401" s="13" t="s">
        <v>1044</v>
      </c>
    </row>
    <row r="402" spans="1:5">
      <c r="A402" s="13">
        <v>305207</v>
      </c>
      <c r="B402" s="17" t="s">
        <v>261</v>
      </c>
      <c r="C402" s="13">
        <v>3052</v>
      </c>
      <c r="D402" s="13">
        <v>70</v>
      </c>
      <c r="E402" s="13" t="s">
        <v>1044</v>
      </c>
    </row>
    <row r="403" spans="1:5">
      <c r="A403" s="13">
        <v>305208</v>
      </c>
      <c r="B403" s="17" t="s">
        <v>261</v>
      </c>
      <c r="C403" s="13">
        <v>3052</v>
      </c>
      <c r="D403" s="13">
        <v>80</v>
      </c>
      <c r="E403" s="13" t="s">
        <v>1044</v>
      </c>
    </row>
    <row r="404" spans="1:5">
      <c r="A404" s="13">
        <v>305209</v>
      </c>
      <c r="B404" s="17" t="s">
        <v>261</v>
      </c>
      <c r="C404" s="13">
        <v>3052</v>
      </c>
      <c r="D404" s="13">
        <v>90</v>
      </c>
      <c r="E404" s="13" t="s">
        <v>1044</v>
      </c>
    </row>
    <row r="405" spans="1:5">
      <c r="A405" s="13">
        <v>305210</v>
      </c>
      <c r="B405" s="17" t="s">
        <v>261</v>
      </c>
      <c r="C405" s="13">
        <v>3052</v>
      </c>
      <c r="D405" s="13">
        <v>100</v>
      </c>
      <c r="E405" s="13" t="s">
        <v>1044</v>
      </c>
    </row>
    <row r="406" spans="1:5">
      <c r="A406" s="13">
        <v>305301</v>
      </c>
      <c r="B406" s="16" t="s">
        <v>265</v>
      </c>
      <c r="C406" s="13">
        <v>3053</v>
      </c>
      <c r="D406" s="13">
        <v>10</v>
      </c>
      <c r="E406" s="13" t="s">
        <v>1042</v>
      </c>
    </row>
    <row r="407" spans="1:5">
      <c r="A407" s="13">
        <v>305302</v>
      </c>
      <c r="B407" s="16" t="s">
        <v>265</v>
      </c>
      <c r="C407" s="13">
        <v>3053</v>
      </c>
      <c r="D407" s="13">
        <v>20</v>
      </c>
      <c r="E407" s="13" t="s">
        <v>1044</v>
      </c>
    </row>
    <row r="408" spans="1:5">
      <c r="A408" s="13">
        <v>305303</v>
      </c>
      <c r="B408" s="16" t="s">
        <v>265</v>
      </c>
      <c r="C408" s="13">
        <v>3053</v>
      </c>
      <c r="D408" s="13">
        <v>30</v>
      </c>
      <c r="E408" s="13" t="s">
        <v>1044</v>
      </c>
    </row>
    <row r="409" spans="1:5">
      <c r="A409" s="13">
        <v>305304</v>
      </c>
      <c r="B409" s="16" t="s">
        <v>265</v>
      </c>
      <c r="C409" s="13">
        <v>3053</v>
      </c>
      <c r="D409" s="13">
        <v>40</v>
      </c>
      <c r="E409" s="13" t="s">
        <v>1044</v>
      </c>
    </row>
    <row r="410" spans="1:5">
      <c r="A410" s="13">
        <v>305305</v>
      </c>
      <c r="B410" s="16" t="s">
        <v>265</v>
      </c>
      <c r="C410" s="13">
        <v>3053</v>
      </c>
      <c r="D410" s="13">
        <v>50</v>
      </c>
      <c r="E410" s="13" t="s">
        <v>1042</v>
      </c>
    </row>
    <row r="411" spans="1:5">
      <c r="A411" s="13">
        <v>305306</v>
      </c>
      <c r="B411" s="16" t="s">
        <v>265</v>
      </c>
      <c r="C411" s="13">
        <v>3053</v>
      </c>
      <c r="D411" s="13">
        <v>60</v>
      </c>
      <c r="E411" s="13" t="s">
        <v>1044</v>
      </c>
    </row>
    <row r="412" spans="1:5">
      <c r="A412" s="13">
        <v>305307</v>
      </c>
      <c r="B412" s="16" t="s">
        <v>265</v>
      </c>
      <c r="C412" s="13">
        <v>3053</v>
      </c>
      <c r="D412" s="13">
        <v>70</v>
      </c>
      <c r="E412" s="13" t="s">
        <v>1044</v>
      </c>
    </row>
    <row r="413" spans="1:5">
      <c r="A413" s="13">
        <v>305308</v>
      </c>
      <c r="B413" s="16" t="s">
        <v>265</v>
      </c>
      <c r="C413" s="13">
        <v>3053</v>
      </c>
      <c r="D413" s="13">
        <v>80</v>
      </c>
      <c r="E413" s="13" t="s">
        <v>1044</v>
      </c>
    </row>
    <row r="414" spans="1:5">
      <c r="A414" s="13">
        <v>305309</v>
      </c>
      <c r="B414" s="16" t="s">
        <v>265</v>
      </c>
      <c r="C414" s="13">
        <v>3053</v>
      </c>
      <c r="D414" s="13">
        <v>90</v>
      </c>
      <c r="E414" s="13" t="s">
        <v>1044</v>
      </c>
    </row>
    <row r="415" spans="1:5">
      <c r="A415" s="13">
        <v>305310</v>
      </c>
      <c r="B415" s="16" t="s">
        <v>265</v>
      </c>
      <c r="C415" s="13">
        <v>3053</v>
      </c>
      <c r="D415" s="13">
        <v>100</v>
      </c>
      <c r="E415" s="13" t="s">
        <v>1044</v>
      </c>
    </row>
    <row r="416" spans="1:5">
      <c r="A416" s="13">
        <v>305401</v>
      </c>
      <c r="B416" s="17" t="s">
        <v>270</v>
      </c>
      <c r="C416" s="13">
        <v>3054</v>
      </c>
      <c r="D416" s="13">
        <v>10</v>
      </c>
      <c r="E416" s="13" t="s">
        <v>1042</v>
      </c>
    </row>
    <row r="417" spans="1:5">
      <c r="A417" s="13">
        <v>305402</v>
      </c>
      <c r="B417" s="17" t="s">
        <v>270</v>
      </c>
      <c r="C417" s="13">
        <v>3054</v>
      </c>
      <c r="D417" s="13">
        <v>20</v>
      </c>
      <c r="E417" s="13" t="s">
        <v>1044</v>
      </c>
    </row>
    <row r="418" spans="1:5">
      <c r="A418" s="13">
        <v>305403</v>
      </c>
      <c r="B418" s="17" t="s">
        <v>270</v>
      </c>
      <c r="C418" s="13">
        <v>3054</v>
      </c>
      <c r="D418" s="13">
        <v>30</v>
      </c>
      <c r="E418" s="13" t="s">
        <v>1044</v>
      </c>
    </row>
    <row r="419" spans="1:5">
      <c r="A419" s="13">
        <v>305404</v>
      </c>
      <c r="B419" s="17" t="s">
        <v>270</v>
      </c>
      <c r="C419" s="13">
        <v>3054</v>
      </c>
      <c r="D419" s="13">
        <v>40</v>
      </c>
      <c r="E419" s="13" t="s">
        <v>1044</v>
      </c>
    </row>
    <row r="420" spans="1:5">
      <c r="A420" s="13">
        <v>305405</v>
      </c>
      <c r="B420" s="17" t="s">
        <v>270</v>
      </c>
      <c r="C420" s="13">
        <v>3054</v>
      </c>
      <c r="D420" s="13">
        <v>50</v>
      </c>
      <c r="E420" s="13" t="s">
        <v>1042</v>
      </c>
    </row>
    <row r="421" spans="1:5">
      <c r="A421" s="13">
        <v>305406</v>
      </c>
      <c r="B421" s="17" t="s">
        <v>270</v>
      </c>
      <c r="C421" s="13">
        <v>3054</v>
      </c>
      <c r="D421" s="13">
        <v>60</v>
      </c>
      <c r="E421" s="13" t="s">
        <v>1044</v>
      </c>
    </row>
    <row r="422" spans="1:5">
      <c r="A422" s="13">
        <v>305407</v>
      </c>
      <c r="B422" s="17" t="s">
        <v>270</v>
      </c>
      <c r="C422" s="13">
        <v>3054</v>
      </c>
      <c r="D422" s="13">
        <v>70</v>
      </c>
      <c r="E422" s="13" t="s">
        <v>1044</v>
      </c>
    </row>
    <row r="423" spans="1:5">
      <c r="A423" s="13">
        <v>305408</v>
      </c>
      <c r="B423" s="17" t="s">
        <v>270</v>
      </c>
      <c r="C423" s="13">
        <v>3054</v>
      </c>
      <c r="D423" s="13">
        <v>80</v>
      </c>
      <c r="E423" s="13" t="s">
        <v>1044</v>
      </c>
    </row>
    <row r="424" spans="1:5">
      <c r="A424" s="13">
        <v>305409</v>
      </c>
      <c r="B424" s="17" t="s">
        <v>270</v>
      </c>
      <c r="C424" s="13">
        <v>3054</v>
      </c>
      <c r="D424" s="13">
        <v>90</v>
      </c>
      <c r="E424" s="13" t="s">
        <v>1044</v>
      </c>
    </row>
    <row r="425" spans="1:5">
      <c r="A425" s="13">
        <v>305410</v>
      </c>
      <c r="B425" s="17" t="s">
        <v>270</v>
      </c>
      <c r="C425" s="13">
        <v>3054</v>
      </c>
      <c r="D425" s="13">
        <v>100</v>
      </c>
      <c r="E425" s="13" t="s">
        <v>1044</v>
      </c>
    </row>
    <row r="426" spans="1:5">
      <c r="A426" s="13">
        <v>305501</v>
      </c>
      <c r="B426" s="16" t="s">
        <v>274</v>
      </c>
      <c r="C426" s="13">
        <v>3055</v>
      </c>
      <c r="D426" s="13">
        <v>10</v>
      </c>
      <c r="E426" s="13" t="s">
        <v>1042</v>
      </c>
    </row>
    <row r="427" spans="1:5">
      <c r="A427" s="13">
        <v>305502</v>
      </c>
      <c r="B427" s="16" t="s">
        <v>274</v>
      </c>
      <c r="C427" s="13">
        <v>3055</v>
      </c>
      <c r="D427" s="13">
        <v>20</v>
      </c>
      <c r="E427" s="13" t="s">
        <v>1044</v>
      </c>
    </row>
    <row r="428" spans="1:5">
      <c r="A428" s="13">
        <v>305503</v>
      </c>
      <c r="B428" s="16" t="s">
        <v>274</v>
      </c>
      <c r="C428" s="13">
        <v>3055</v>
      </c>
      <c r="D428" s="13">
        <v>30</v>
      </c>
      <c r="E428" s="13" t="s">
        <v>1044</v>
      </c>
    </row>
    <row r="429" spans="1:5">
      <c r="A429" s="13">
        <v>305504</v>
      </c>
      <c r="B429" s="16" t="s">
        <v>274</v>
      </c>
      <c r="C429" s="13">
        <v>3055</v>
      </c>
      <c r="D429" s="13">
        <v>40</v>
      </c>
      <c r="E429" s="13" t="s">
        <v>1044</v>
      </c>
    </row>
    <row r="430" spans="1:5">
      <c r="A430" s="13">
        <v>305505</v>
      </c>
      <c r="B430" s="16" t="s">
        <v>274</v>
      </c>
      <c r="C430" s="13">
        <v>3055</v>
      </c>
      <c r="D430" s="13">
        <v>50</v>
      </c>
      <c r="E430" s="13" t="s">
        <v>1042</v>
      </c>
    </row>
    <row r="431" spans="1:5">
      <c r="A431" s="13">
        <v>305506</v>
      </c>
      <c r="B431" s="16" t="s">
        <v>274</v>
      </c>
      <c r="C431" s="13">
        <v>3055</v>
      </c>
      <c r="D431" s="13">
        <v>60</v>
      </c>
      <c r="E431" s="13" t="s">
        <v>1044</v>
      </c>
    </row>
    <row r="432" spans="1:5">
      <c r="A432" s="13">
        <v>305507</v>
      </c>
      <c r="B432" s="16" t="s">
        <v>274</v>
      </c>
      <c r="C432" s="13">
        <v>3055</v>
      </c>
      <c r="D432" s="13">
        <v>70</v>
      </c>
      <c r="E432" s="13" t="s">
        <v>1044</v>
      </c>
    </row>
    <row r="433" spans="1:5">
      <c r="A433" s="13">
        <v>305508</v>
      </c>
      <c r="B433" s="16" t="s">
        <v>274</v>
      </c>
      <c r="C433" s="13">
        <v>3055</v>
      </c>
      <c r="D433" s="13">
        <v>80</v>
      </c>
      <c r="E433" s="13" t="s">
        <v>1044</v>
      </c>
    </row>
    <row r="434" spans="1:5">
      <c r="A434" s="13">
        <v>305509</v>
      </c>
      <c r="B434" s="16" t="s">
        <v>274</v>
      </c>
      <c r="C434" s="13">
        <v>3055</v>
      </c>
      <c r="D434" s="13">
        <v>90</v>
      </c>
      <c r="E434" s="13" t="s">
        <v>1044</v>
      </c>
    </row>
    <row r="435" spans="1:5">
      <c r="A435" s="13">
        <v>305510</v>
      </c>
      <c r="B435" s="16" t="s">
        <v>274</v>
      </c>
      <c r="C435" s="13">
        <v>3055</v>
      </c>
      <c r="D435" s="13">
        <v>100</v>
      </c>
      <c r="E435" s="13" t="s">
        <v>1044</v>
      </c>
    </row>
    <row r="436" spans="1:5">
      <c r="A436" s="13">
        <v>305601</v>
      </c>
      <c r="B436" s="17" t="s">
        <v>908</v>
      </c>
      <c r="C436" s="13">
        <v>3056</v>
      </c>
      <c r="D436" s="13">
        <v>10</v>
      </c>
      <c r="E436" s="13" t="s">
        <v>1042</v>
      </c>
    </row>
    <row r="437" spans="1:5">
      <c r="A437" s="13">
        <v>305602</v>
      </c>
      <c r="B437" s="17" t="s">
        <v>908</v>
      </c>
      <c r="C437" s="13">
        <v>3056</v>
      </c>
      <c r="D437" s="13">
        <v>20</v>
      </c>
      <c r="E437" s="13" t="s">
        <v>1044</v>
      </c>
    </row>
    <row r="438" spans="1:5">
      <c r="A438" s="13">
        <v>305603</v>
      </c>
      <c r="B438" s="17" t="s">
        <v>908</v>
      </c>
      <c r="C438" s="13">
        <v>3056</v>
      </c>
      <c r="D438" s="13">
        <v>30</v>
      </c>
      <c r="E438" s="13" t="s">
        <v>1044</v>
      </c>
    </row>
    <row r="439" spans="1:5">
      <c r="A439" s="13">
        <v>305604</v>
      </c>
      <c r="B439" s="17" t="s">
        <v>908</v>
      </c>
      <c r="C439" s="13">
        <v>3056</v>
      </c>
      <c r="D439" s="13">
        <v>40</v>
      </c>
      <c r="E439" s="13" t="s">
        <v>1044</v>
      </c>
    </row>
    <row r="440" spans="1:5">
      <c r="A440" s="13">
        <v>305605</v>
      </c>
      <c r="B440" s="17" t="s">
        <v>908</v>
      </c>
      <c r="C440" s="13">
        <v>3056</v>
      </c>
      <c r="D440" s="13">
        <v>50</v>
      </c>
      <c r="E440" s="13" t="s">
        <v>1042</v>
      </c>
    </row>
    <row r="441" spans="1:5">
      <c r="A441" s="13">
        <v>305606</v>
      </c>
      <c r="B441" s="17" t="s">
        <v>908</v>
      </c>
      <c r="C441" s="13">
        <v>3056</v>
      </c>
      <c r="D441" s="13">
        <v>60</v>
      </c>
      <c r="E441" s="13" t="s">
        <v>1044</v>
      </c>
    </row>
    <row r="442" spans="1:5">
      <c r="A442" s="13">
        <v>305607</v>
      </c>
      <c r="B442" s="17" t="s">
        <v>908</v>
      </c>
      <c r="C442" s="13">
        <v>3056</v>
      </c>
      <c r="D442" s="13">
        <v>70</v>
      </c>
      <c r="E442" s="13" t="s">
        <v>1044</v>
      </c>
    </row>
    <row r="443" spans="1:5">
      <c r="A443" s="13">
        <v>305608</v>
      </c>
      <c r="B443" s="17" t="s">
        <v>908</v>
      </c>
      <c r="C443" s="13">
        <v>3056</v>
      </c>
      <c r="D443" s="13">
        <v>80</v>
      </c>
      <c r="E443" s="13" t="s">
        <v>1044</v>
      </c>
    </row>
    <row r="444" spans="1:5">
      <c r="A444" s="13">
        <v>305609</v>
      </c>
      <c r="B444" s="17" t="s">
        <v>908</v>
      </c>
      <c r="C444" s="13">
        <v>3056</v>
      </c>
      <c r="D444" s="13">
        <v>90</v>
      </c>
      <c r="E444" s="13" t="s">
        <v>1044</v>
      </c>
    </row>
    <row r="445" spans="1:5">
      <c r="A445" s="13">
        <v>305610</v>
      </c>
      <c r="B445" s="17" t="s">
        <v>908</v>
      </c>
      <c r="C445" s="13">
        <v>3056</v>
      </c>
      <c r="D445" s="13">
        <v>100</v>
      </c>
      <c r="E445" s="13" t="s">
        <v>1044</v>
      </c>
    </row>
    <row r="446" spans="1:5">
      <c r="A446" s="13">
        <v>305701</v>
      </c>
      <c r="B446" s="13" t="s">
        <v>281</v>
      </c>
      <c r="C446" s="13">
        <v>3057</v>
      </c>
      <c r="D446" s="13">
        <v>10</v>
      </c>
      <c r="E446" s="13" t="s">
        <v>1042</v>
      </c>
    </row>
    <row r="447" spans="1:5">
      <c r="A447" s="13">
        <v>305702</v>
      </c>
      <c r="B447" s="13" t="s">
        <v>281</v>
      </c>
      <c r="C447" s="13">
        <v>3057</v>
      </c>
      <c r="D447" s="13">
        <v>20</v>
      </c>
      <c r="E447" s="13" t="s">
        <v>1044</v>
      </c>
    </row>
    <row r="448" spans="1:5">
      <c r="A448" s="13">
        <v>305703</v>
      </c>
      <c r="B448" s="13" t="s">
        <v>281</v>
      </c>
      <c r="C448" s="13">
        <v>3057</v>
      </c>
      <c r="D448" s="13">
        <v>30</v>
      </c>
      <c r="E448" s="13" t="s">
        <v>1044</v>
      </c>
    </row>
    <row r="449" spans="1:5">
      <c r="A449" s="13">
        <v>305704</v>
      </c>
      <c r="B449" s="13" t="s">
        <v>281</v>
      </c>
      <c r="C449" s="13">
        <v>3057</v>
      </c>
      <c r="D449" s="13">
        <v>40</v>
      </c>
      <c r="E449" s="13" t="s">
        <v>1044</v>
      </c>
    </row>
    <row r="450" spans="1:5">
      <c r="A450" s="13">
        <v>305705</v>
      </c>
      <c r="B450" s="13" t="s">
        <v>281</v>
      </c>
      <c r="C450" s="13">
        <v>3057</v>
      </c>
      <c r="D450" s="13">
        <v>50</v>
      </c>
      <c r="E450" s="13" t="s">
        <v>1042</v>
      </c>
    </row>
    <row r="451" spans="1:5">
      <c r="A451" s="13">
        <v>305706</v>
      </c>
      <c r="B451" s="13" t="s">
        <v>281</v>
      </c>
      <c r="C451" s="13">
        <v>3057</v>
      </c>
      <c r="D451" s="13">
        <v>60</v>
      </c>
      <c r="E451" s="13" t="s">
        <v>1044</v>
      </c>
    </row>
    <row r="452" spans="1:5">
      <c r="A452" s="13">
        <v>305707</v>
      </c>
      <c r="B452" s="13" t="s">
        <v>281</v>
      </c>
      <c r="C452" s="13">
        <v>3057</v>
      </c>
      <c r="D452" s="13">
        <v>70</v>
      </c>
      <c r="E452" s="13" t="s">
        <v>1044</v>
      </c>
    </row>
    <row r="453" spans="1:5">
      <c r="A453" s="13">
        <v>305708</v>
      </c>
      <c r="B453" s="13" t="s">
        <v>281</v>
      </c>
      <c r="C453" s="13">
        <v>3057</v>
      </c>
      <c r="D453" s="13">
        <v>80</v>
      </c>
      <c r="E453" s="13" t="s">
        <v>1044</v>
      </c>
    </row>
    <row r="454" spans="1:5">
      <c r="A454" s="13">
        <v>305709</v>
      </c>
      <c r="B454" s="13" t="s">
        <v>281</v>
      </c>
      <c r="C454" s="13">
        <v>3057</v>
      </c>
      <c r="D454" s="13">
        <v>90</v>
      </c>
      <c r="E454" s="13" t="s">
        <v>1044</v>
      </c>
    </row>
    <row r="455" spans="1:5">
      <c r="A455" s="13">
        <v>305710</v>
      </c>
      <c r="B455" s="13" t="s">
        <v>281</v>
      </c>
      <c r="C455" s="13">
        <v>3057</v>
      </c>
      <c r="D455" s="13">
        <v>100</v>
      </c>
      <c r="E455" s="13" t="s">
        <v>1044</v>
      </c>
    </row>
    <row r="456" spans="1:5">
      <c r="A456" s="13">
        <v>305801</v>
      </c>
      <c r="B456" s="13" t="s">
        <v>244</v>
      </c>
      <c r="C456" s="13">
        <v>3058</v>
      </c>
      <c r="D456" s="13">
        <v>10</v>
      </c>
      <c r="E456" s="13" t="s">
        <v>1042</v>
      </c>
    </row>
    <row r="457" spans="1:5">
      <c r="A457" s="13">
        <v>305802</v>
      </c>
      <c r="B457" s="13" t="s">
        <v>244</v>
      </c>
      <c r="C457" s="13">
        <v>3058</v>
      </c>
      <c r="D457" s="13">
        <v>20</v>
      </c>
      <c r="E457" s="13" t="s">
        <v>1044</v>
      </c>
    </row>
    <row r="458" spans="1:5">
      <c r="A458" s="13">
        <v>305803</v>
      </c>
      <c r="B458" s="13" t="s">
        <v>244</v>
      </c>
      <c r="C458" s="13">
        <v>3058</v>
      </c>
      <c r="D458" s="13">
        <v>30</v>
      </c>
      <c r="E458" s="13" t="s">
        <v>1044</v>
      </c>
    </row>
    <row r="459" spans="1:5">
      <c r="A459" s="13">
        <v>305804</v>
      </c>
      <c r="B459" s="13" t="s">
        <v>244</v>
      </c>
      <c r="C459" s="13">
        <v>3058</v>
      </c>
      <c r="D459" s="13">
        <v>40</v>
      </c>
      <c r="E459" s="13" t="s">
        <v>1044</v>
      </c>
    </row>
    <row r="460" spans="1:5">
      <c r="A460" s="13">
        <v>305805</v>
      </c>
      <c r="B460" s="13" t="s">
        <v>244</v>
      </c>
      <c r="C460" s="13">
        <v>3058</v>
      </c>
      <c r="D460" s="13">
        <v>50</v>
      </c>
      <c r="E460" s="13" t="s">
        <v>1042</v>
      </c>
    </row>
    <row r="461" spans="1:5">
      <c r="A461" s="13">
        <v>305806</v>
      </c>
      <c r="B461" s="13" t="s">
        <v>244</v>
      </c>
      <c r="C461" s="13">
        <v>3058</v>
      </c>
      <c r="D461" s="13">
        <v>60</v>
      </c>
      <c r="E461" s="13" t="s">
        <v>1044</v>
      </c>
    </row>
    <row r="462" spans="1:5">
      <c r="A462" s="13">
        <v>305807</v>
      </c>
      <c r="B462" s="13" t="s">
        <v>244</v>
      </c>
      <c r="C462" s="13">
        <v>3058</v>
      </c>
      <c r="D462" s="13">
        <v>70</v>
      </c>
      <c r="E462" s="13" t="s">
        <v>1044</v>
      </c>
    </row>
    <row r="463" spans="1:5">
      <c r="A463" s="13">
        <v>305808</v>
      </c>
      <c r="B463" s="13" t="s">
        <v>244</v>
      </c>
      <c r="C463" s="13">
        <v>3058</v>
      </c>
      <c r="D463" s="13">
        <v>80</v>
      </c>
      <c r="E463" s="13" t="s">
        <v>1044</v>
      </c>
    </row>
    <row r="464" spans="1:5">
      <c r="A464" s="13">
        <v>305809</v>
      </c>
      <c r="B464" s="13" t="s">
        <v>244</v>
      </c>
      <c r="C464" s="13">
        <v>3058</v>
      </c>
      <c r="D464" s="13">
        <v>90</v>
      </c>
      <c r="E464" s="13" t="s">
        <v>1044</v>
      </c>
    </row>
    <row r="465" spans="1:5">
      <c r="A465" s="13">
        <v>305810</v>
      </c>
      <c r="B465" s="13" t="s">
        <v>244</v>
      </c>
      <c r="C465" s="13">
        <v>3058</v>
      </c>
      <c r="D465" s="13">
        <v>100</v>
      </c>
      <c r="E465" s="13" t="s">
        <v>1044</v>
      </c>
    </row>
    <row r="466" spans="1:5">
      <c r="A466" s="13">
        <v>305901</v>
      </c>
      <c r="B466" s="13" t="s">
        <v>287</v>
      </c>
      <c r="C466" s="13">
        <v>3059</v>
      </c>
      <c r="D466" s="13">
        <v>10</v>
      </c>
      <c r="E466" s="13" t="s">
        <v>1042</v>
      </c>
    </row>
    <row r="467" spans="1:5">
      <c r="A467" s="13">
        <v>305902</v>
      </c>
      <c r="B467" s="13" t="s">
        <v>287</v>
      </c>
      <c r="C467" s="13">
        <v>3059</v>
      </c>
      <c r="D467" s="13">
        <v>20</v>
      </c>
      <c r="E467" s="13" t="s">
        <v>1044</v>
      </c>
    </row>
    <row r="468" spans="1:5">
      <c r="A468" s="13">
        <v>305903</v>
      </c>
      <c r="B468" s="13" t="s">
        <v>287</v>
      </c>
      <c r="C468" s="13">
        <v>3059</v>
      </c>
      <c r="D468" s="13">
        <v>30</v>
      </c>
      <c r="E468" s="13" t="s">
        <v>1044</v>
      </c>
    </row>
    <row r="469" spans="1:5">
      <c r="A469" s="13">
        <v>305904</v>
      </c>
      <c r="B469" s="13" t="s">
        <v>287</v>
      </c>
      <c r="C469" s="13">
        <v>3059</v>
      </c>
      <c r="D469" s="13">
        <v>40</v>
      </c>
      <c r="E469" s="13" t="s">
        <v>1044</v>
      </c>
    </row>
    <row r="470" spans="1:5">
      <c r="A470" s="13">
        <v>305905</v>
      </c>
      <c r="B470" s="13" t="s">
        <v>287</v>
      </c>
      <c r="C470" s="13">
        <v>3059</v>
      </c>
      <c r="D470" s="13">
        <v>50</v>
      </c>
      <c r="E470" s="13" t="s">
        <v>1042</v>
      </c>
    </row>
    <row r="471" spans="1:5">
      <c r="A471" s="13">
        <v>305906</v>
      </c>
      <c r="B471" s="13" t="s">
        <v>287</v>
      </c>
      <c r="C471" s="13">
        <v>3059</v>
      </c>
      <c r="D471" s="13">
        <v>60</v>
      </c>
      <c r="E471" s="13" t="s">
        <v>1044</v>
      </c>
    </row>
    <row r="472" spans="1:5">
      <c r="A472" s="13">
        <v>305907</v>
      </c>
      <c r="B472" s="13" t="s">
        <v>287</v>
      </c>
      <c r="C472" s="13">
        <v>3059</v>
      </c>
      <c r="D472" s="13">
        <v>70</v>
      </c>
      <c r="E472" s="13" t="s">
        <v>1044</v>
      </c>
    </row>
    <row r="473" spans="1:5">
      <c r="A473" s="13">
        <v>305908</v>
      </c>
      <c r="B473" s="13" t="s">
        <v>287</v>
      </c>
      <c r="C473" s="13">
        <v>3059</v>
      </c>
      <c r="D473" s="13">
        <v>80</v>
      </c>
      <c r="E473" s="13" t="s">
        <v>1044</v>
      </c>
    </row>
    <row r="474" spans="1:5">
      <c r="A474" s="13">
        <v>305909</v>
      </c>
      <c r="B474" s="13" t="s">
        <v>287</v>
      </c>
      <c r="C474" s="13">
        <v>3059</v>
      </c>
      <c r="D474" s="13">
        <v>90</v>
      </c>
      <c r="E474" s="13" t="s">
        <v>1044</v>
      </c>
    </row>
    <row r="475" spans="1:5">
      <c r="A475" s="13">
        <v>305910</v>
      </c>
      <c r="B475" s="13" t="s">
        <v>287</v>
      </c>
      <c r="C475" s="13">
        <v>3059</v>
      </c>
      <c r="D475" s="13">
        <v>100</v>
      </c>
      <c r="E475" s="13" t="s">
        <v>1044</v>
      </c>
    </row>
    <row r="476" spans="1:5">
      <c r="A476" s="13">
        <v>306001</v>
      </c>
      <c r="B476" s="13" t="s">
        <v>141</v>
      </c>
      <c r="C476" s="13">
        <v>3060</v>
      </c>
      <c r="D476" s="13">
        <v>10</v>
      </c>
      <c r="E476" s="13" t="s">
        <v>1042</v>
      </c>
    </row>
    <row r="477" spans="1:5">
      <c r="A477" s="13">
        <v>306002</v>
      </c>
      <c r="B477" s="13" t="s">
        <v>141</v>
      </c>
      <c r="C477" s="13">
        <v>3060</v>
      </c>
      <c r="D477" s="13">
        <v>20</v>
      </c>
      <c r="E477" s="13" t="s">
        <v>1044</v>
      </c>
    </row>
    <row r="478" spans="1:5">
      <c r="A478" s="13">
        <v>306003</v>
      </c>
      <c r="B478" s="13" t="s">
        <v>141</v>
      </c>
      <c r="C478" s="13">
        <v>3060</v>
      </c>
      <c r="D478" s="13">
        <v>30</v>
      </c>
      <c r="E478" s="13" t="s">
        <v>1044</v>
      </c>
    </row>
    <row r="479" spans="1:5">
      <c r="A479" s="13">
        <v>306004</v>
      </c>
      <c r="B479" s="13" t="s">
        <v>141</v>
      </c>
      <c r="C479" s="13">
        <v>3060</v>
      </c>
      <c r="D479" s="13">
        <v>40</v>
      </c>
      <c r="E479" s="13" t="s">
        <v>1044</v>
      </c>
    </row>
    <row r="480" spans="1:5">
      <c r="A480" s="13">
        <v>306005</v>
      </c>
      <c r="B480" s="13" t="s">
        <v>141</v>
      </c>
      <c r="C480" s="13">
        <v>3060</v>
      </c>
      <c r="D480" s="13">
        <v>50</v>
      </c>
      <c r="E480" s="13" t="s">
        <v>1042</v>
      </c>
    </row>
    <row r="481" spans="1:5">
      <c r="A481" s="13">
        <v>306006</v>
      </c>
      <c r="B481" s="13" t="s">
        <v>141</v>
      </c>
      <c r="C481" s="13">
        <v>3060</v>
      </c>
      <c r="D481" s="13">
        <v>60</v>
      </c>
      <c r="E481" s="13" t="s">
        <v>1044</v>
      </c>
    </row>
    <row r="482" spans="1:5">
      <c r="A482" s="13">
        <v>306007</v>
      </c>
      <c r="B482" s="13" t="s">
        <v>141</v>
      </c>
      <c r="C482" s="13">
        <v>3060</v>
      </c>
      <c r="D482" s="13">
        <v>70</v>
      </c>
      <c r="E482" s="13" t="s">
        <v>1044</v>
      </c>
    </row>
    <row r="483" spans="1:5">
      <c r="A483" s="13">
        <v>306008</v>
      </c>
      <c r="B483" s="13" t="s">
        <v>141</v>
      </c>
      <c r="C483" s="13">
        <v>3060</v>
      </c>
      <c r="D483" s="13">
        <v>80</v>
      </c>
      <c r="E483" s="13" t="s">
        <v>1044</v>
      </c>
    </row>
    <row r="484" spans="1:5">
      <c r="A484" s="13">
        <v>306009</v>
      </c>
      <c r="B484" s="13" t="s">
        <v>141</v>
      </c>
      <c r="C484" s="13">
        <v>3060</v>
      </c>
      <c r="D484" s="13">
        <v>90</v>
      </c>
      <c r="E484" s="13" t="s">
        <v>1044</v>
      </c>
    </row>
    <row r="485" spans="1:5">
      <c r="A485" s="13">
        <v>306010</v>
      </c>
      <c r="B485" s="13" t="s">
        <v>141</v>
      </c>
      <c r="C485" s="13">
        <v>3060</v>
      </c>
      <c r="D485" s="13">
        <v>100</v>
      </c>
      <c r="E485" s="13" t="s">
        <v>1044</v>
      </c>
    </row>
    <row r="486" spans="1:5">
      <c r="A486" s="13">
        <v>306101</v>
      </c>
      <c r="B486" s="18" t="s">
        <v>293</v>
      </c>
      <c r="C486" s="13">
        <v>3061</v>
      </c>
      <c r="D486" s="13">
        <v>10</v>
      </c>
      <c r="E486" s="13" t="s">
        <v>1042</v>
      </c>
    </row>
    <row r="487" spans="1:5">
      <c r="A487" s="13">
        <v>306102</v>
      </c>
      <c r="B487" s="18" t="s">
        <v>293</v>
      </c>
      <c r="C487" s="13">
        <v>3061</v>
      </c>
      <c r="D487" s="13">
        <v>20</v>
      </c>
      <c r="E487" s="13" t="s">
        <v>1044</v>
      </c>
    </row>
    <row r="488" spans="1:5">
      <c r="A488" s="13">
        <v>306103</v>
      </c>
      <c r="B488" s="18" t="s">
        <v>293</v>
      </c>
      <c r="C488" s="13">
        <v>3061</v>
      </c>
      <c r="D488" s="13">
        <v>30</v>
      </c>
      <c r="E488" s="13" t="s">
        <v>1044</v>
      </c>
    </row>
    <row r="489" spans="1:5">
      <c r="A489" s="13">
        <v>306104</v>
      </c>
      <c r="B489" s="18" t="s">
        <v>293</v>
      </c>
      <c r="C489" s="13">
        <v>3061</v>
      </c>
      <c r="D489" s="13">
        <v>40</v>
      </c>
      <c r="E489" s="13" t="s">
        <v>1044</v>
      </c>
    </row>
    <row r="490" spans="1:5">
      <c r="A490" s="13">
        <v>306105</v>
      </c>
      <c r="B490" s="18" t="s">
        <v>293</v>
      </c>
      <c r="C490" s="13">
        <v>3061</v>
      </c>
      <c r="D490" s="13">
        <v>50</v>
      </c>
      <c r="E490" s="13" t="s">
        <v>1042</v>
      </c>
    </row>
    <row r="491" spans="1:5">
      <c r="A491" s="13">
        <v>306106</v>
      </c>
      <c r="B491" s="18" t="s">
        <v>293</v>
      </c>
      <c r="C491" s="13">
        <v>3061</v>
      </c>
      <c r="D491" s="13">
        <v>60</v>
      </c>
      <c r="E491" s="13" t="s">
        <v>1044</v>
      </c>
    </row>
    <row r="492" spans="1:5">
      <c r="A492" s="13">
        <v>306107</v>
      </c>
      <c r="B492" s="18" t="s">
        <v>293</v>
      </c>
      <c r="C492" s="13">
        <v>3061</v>
      </c>
      <c r="D492" s="13">
        <v>70</v>
      </c>
      <c r="E492" s="13" t="s">
        <v>1044</v>
      </c>
    </row>
    <row r="493" spans="1:5">
      <c r="A493" s="13">
        <v>306108</v>
      </c>
      <c r="B493" s="18" t="s">
        <v>293</v>
      </c>
      <c r="C493" s="13">
        <v>3061</v>
      </c>
      <c r="D493" s="13">
        <v>80</v>
      </c>
      <c r="E493" s="13" t="s">
        <v>1044</v>
      </c>
    </row>
    <row r="494" spans="1:5">
      <c r="A494" s="13">
        <v>306109</v>
      </c>
      <c r="B494" s="18" t="s">
        <v>293</v>
      </c>
      <c r="C494" s="13">
        <v>3061</v>
      </c>
      <c r="D494" s="13">
        <v>90</v>
      </c>
      <c r="E494" s="13" t="s">
        <v>1044</v>
      </c>
    </row>
    <row r="495" spans="1:5">
      <c r="A495" s="13">
        <v>306110</v>
      </c>
      <c r="B495" s="18" t="s">
        <v>293</v>
      </c>
      <c r="C495" s="13">
        <v>3061</v>
      </c>
      <c r="D495" s="13">
        <v>100</v>
      </c>
      <c r="E495" s="13" t="s">
        <v>1044</v>
      </c>
    </row>
    <row r="496" spans="1:5">
      <c r="A496" s="13">
        <v>306201</v>
      </c>
      <c r="B496" s="18" t="s">
        <v>297</v>
      </c>
      <c r="C496" s="13">
        <v>3062</v>
      </c>
      <c r="D496" s="13">
        <v>10</v>
      </c>
      <c r="E496" s="13" t="s">
        <v>1042</v>
      </c>
    </row>
    <row r="497" spans="1:5">
      <c r="A497" s="13">
        <v>306202</v>
      </c>
      <c r="B497" s="18" t="s">
        <v>297</v>
      </c>
      <c r="C497" s="13">
        <v>3062</v>
      </c>
      <c r="D497" s="13">
        <v>20</v>
      </c>
      <c r="E497" s="13" t="s">
        <v>1044</v>
      </c>
    </row>
    <row r="498" spans="1:5">
      <c r="A498" s="13">
        <v>306203</v>
      </c>
      <c r="B498" s="18" t="s">
        <v>297</v>
      </c>
      <c r="C498" s="13">
        <v>3062</v>
      </c>
      <c r="D498" s="13">
        <v>30</v>
      </c>
      <c r="E498" s="13" t="s">
        <v>1044</v>
      </c>
    </row>
    <row r="499" spans="1:5">
      <c r="A499" s="13">
        <v>306204</v>
      </c>
      <c r="B499" s="18" t="s">
        <v>297</v>
      </c>
      <c r="C499" s="13">
        <v>3062</v>
      </c>
      <c r="D499" s="13">
        <v>40</v>
      </c>
      <c r="E499" s="13" t="s">
        <v>1044</v>
      </c>
    </row>
    <row r="500" spans="1:5">
      <c r="A500" s="13">
        <v>306205</v>
      </c>
      <c r="B500" s="18" t="s">
        <v>297</v>
      </c>
      <c r="C500" s="13">
        <v>3062</v>
      </c>
      <c r="D500" s="13">
        <v>50</v>
      </c>
      <c r="E500" s="13" t="s">
        <v>1042</v>
      </c>
    </row>
    <row r="501" spans="1:5">
      <c r="A501" s="13">
        <v>306206</v>
      </c>
      <c r="B501" s="18" t="s">
        <v>297</v>
      </c>
      <c r="C501" s="13">
        <v>3062</v>
      </c>
      <c r="D501" s="13">
        <v>60</v>
      </c>
      <c r="E501" s="13" t="s">
        <v>1044</v>
      </c>
    </row>
    <row r="502" spans="1:5">
      <c r="A502" s="13">
        <v>306207</v>
      </c>
      <c r="B502" s="18" t="s">
        <v>297</v>
      </c>
      <c r="C502" s="13">
        <v>3062</v>
      </c>
      <c r="D502" s="13">
        <v>70</v>
      </c>
      <c r="E502" s="13" t="s">
        <v>1044</v>
      </c>
    </row>
    <row r="503" spans="1:5">
      <c r="A503" s="13">
        <v>306208</v>
      </c>
      <c r="B503" s="18" t="s">
        <v>297</v>
      </c>
      <c r="C503" s="13">
        <v>3062</v>
      </c>
      <c r="D503" s="13">
        <v>80</v>
      </c>
      <c r="E503" s="13" t="s">
        <v>1044</v>
      </c>
    </row>
    <row r="504" spans="1:5">
      <c r="A504" s="13">
        <v>306209</v>
      </c>
      <c r="B504" s="18" t="s">
        <v>297</v>
      </c>
      <c r="C504" s="13">
        <v>3062</v>
      </c>
      <c r="D504" s="13">
        <v>90</v>
      </c>
      <c r="E504" s="13" t="s">
        <v>1044</v>
      </c>
    </row>
    <row r="505" spans="1:5">
      <c r="A505" s="13">
        <v>306210</v>
      </c>
      <c r="B505" s="18" t="s">
        <v>297</v>
      </c>
      <c r="C505" s="13">
        <v>3062</v>
      </c>
      <c r="D505" s="13">
        <v>100</v>
      </c>
      <c r="E505" s="13" t="s">
        <v>1044</v>
      </c>
    </row>
    <row r="506" spans="1:5">
      <c r="A506" s="13">
        <v>306301</v>
      </c>
      <c r="B506" s="18" t="s">
        <v>1337</v>
      </c>
      <c r="C506" s="13">
        <v>3063</v>
      </c>
      <c r="D506" s="13">
        <v>10</v>
      </c>
      <c r="E506" s="13" t="s">
        <v>1042</v>
      </c>
    </row>
    <row r="507" spans="1:5">
      <c r="A507" s="13">
        <v>306302</v>
      </c>
      <c r="B507" s="18" t="s">
        <v>1337</v>
      </c>
      <c r="C507" s="13">
        <v>3063</v>
      </c>
      <c r="D507" s="13">
        <v>20</v>
      </c>
      <c r="E507" s="13" t="s">
        <v>1044</v>
      </c>
    </row>
    <row r="508" spans="1:5">
      <c r="A508" s="13">
        <v>306303</v>
      </c>
      <c r="B508" s="18" t="s">
        <v>1337</v>
      </c>
      <c r="C508" s="13">
        <v>3063</v>
      </c>
      <c r="D508" s="13">
        <v>30</v>
      </c>
      <c r="E508" s="13" t="s">
        <v>1044</v>
      </c>
    </row>
    <row r="509" spans="1:5">
      <c r="A509" s="13">
        <v>306304</v>
      </c>
      <c r="B509" s="18" t="s">
        <v>1337</v>
      </c>
      <c r="C509" s="13">
        <v>3063</v>
      </c>
      <c r="D509" s="13">
        <v>40</v>
      </c>
      <c r="E509" s="13" t="s">
        <v>1044</v>
      </c>
    </row>
    <row r="510" spans="1:5">
      <c r="A510" s="13">
        <v>306305</v>
      </c>
      <c r="B510" s="18" t="s">
        <v>1337</v>
      </c>
      <c r="C510" s="13">
        <v>3063</v>
      </c>
      <c r="D510" s="13">
        <v>50</v>
      </c>
      <c r="E510" s="13" t="s">
        <v>1042</v>
      </c>
    </row>
    <row r="511" spans="1:5">
      <c r="A511" s="13">
        <v>306306</v>
      </c>
      <c r="B511" s="18" t="s">
        <v>1337</v>
      </c>
      <c r="C511" s="13">
        <v>3063</v>
      </c>
      <c r="D511" s="13">
        <v>60</v>
      </c>
      <c r="E511" s="13" t="s">
        <v>1044</v>
      </c>
    </row>
    <row r="512" spans="1:5">
      <c r="A512" s="13">
        <v>306307</v>
      </c>
      <c r="B512" s="18" t="s">
        <v>1337</v>
      </c>
      <c r="C512" s="13">
        <v>3063</v>
      </c>
      <c r="D512" s="13">
        <v>70</v>
      </c>
      <c r="E512" s="13" t="s">
        <v>1044</v>
      </c>
    </row>
    <row r="513" spans="1:5">
      <c r="A513" s="13">
        <v>306308</v>
      </c>
      <c r="B513" s="18" t="s">
        <v>1337</v>
      </c>
      <c r="C513" s="13">
        <v>3063</v>
      </c>
      <c r="D513" s="13">
        <v>80</v>
      </c>
      <c r="E513" s="13" t="s">
        <v>1044</v>
      </c>
    </row>
    <row r="514" spans="1:5">
      <c r="A514" s="13">
        <v>306309</v>
      </c>
      <c r="B514" s="18" t="s">
        <v>1337</v>
      </c>
      <c r="C514" s="13">
        <v>3063</v>
      </c>
      <c r="D514" s="13">
        <v>90</v>
      </c>
      <c r="E514" s="13" t="s">
        <v>1044</v>
      </c>
    </row>
    <row r="515" spans="1:5">
      <c r="A515" s="13">
        <v>306310</v>
      </c>
      <c r="B515" s="18" t="s">
        <v>1337</v>
      </c>
      <c r="C515" s="13">
        <v>3063</v>
      </c>
      <c r="D515" s="13">
        <v>100</v>
      </c>
      <c r="E515" s="13" t="s">
        <v>1044</v>
      </c>
    </row>
    <row r="516" spans="1:5">
      <c r="A516" s="13">
        <v>306501</v>
      </c>
      <c r="B516" s="13" t="s">
        <v>244</v>
      </c>
      <c r="C516" s="13">
        <v>3065</v>
      </c>
      <c r="D516" s="13">
        <v>10</v>
      </c>
      <c r="E516" s="13" t="s">
        <v>1042</v>
      </c>
    </row>
    <row r="517" spans="1:5">
      <c r="A517" s="13">
        <v>306502</v>
      </c>
      <c r="B517" s="13" t="s">
        <v>244</v>
      </c>
      <c r="C517" s="13">
        <v>3065</v>
      </c>
      <c r="D517" s="13">
        <v>20</v>
      </c>
      <c r="E517" s="13" t="s">
        <v>1044</v>
      </c>
    </row>
    <row r="518" spans="1:5">
      <c r="A518" s="13">
        <v>306503</v>
      </c>
      <c r="B518" s="13" t="s">
        <v>244</v>
      </c>
      <c r="C518" s="13">
        <v>3065</v>
      </c>
      <c r="D518" s="13">
        <v>30</v>
      </c>
      <c r="E518" s="13" t="s">
        <v>1044</v>
      </c>
    </row>
    <row r="519" spans="1:5">
      <c r="A519" s="13">
        <v>306504</v>
      </c>
      <c r="B519" s="13" t="s">
        <v>244</v>
      </c>
      <c r="C519" s="13">
        <v>3065</v>
      </c>
      <c r="D519" s="13">
        <v>40</v>
      </c>
      <c r="E519" s="13" t="s">
        <v>1044</v>
      </c>
    </row>
    <row r="520" spans="1:5">
      <c r="A520" s="13">
        <v>306505</v>
      </c>
      <c r="B520" s="13" t="s">
        <v>244</v>
      </c>
      <c r="C520" s="13">
        <v>3065</v>
      </c>
      <c r="D520" s="13">
        <v>50</v>
      </c>
      <c r="E520" s="13" t="s">
        <v>1042</v>
      </c>
    </row>
    <row r="521" spans="1:5">
      <c r="A521" s="13">
        <v>306506</v>
      </c>
      <c r="B521" s="13" t="s">
        <v>244</v>
      </c>
      <c r="C521" s="13">
        <v>3065</v>
      </c>
      <c r="D521" s="13">
        <v>60</v>
      </c>
      <c r="E521" s="13" t="s">
        <v>1044</v>
      </c>
    </row>
    <row r="522" spans="1:5">
      <c r="A522" s="13">
        <v>306507</v>
      </c>
      <c r="B522" s="13" t="s">
        <v>244</v>
      </c>
      <c r="C522" s="13">
        <v>3065</v>
      </c>
      <c r="D522" s="13">
        <v>70</v>
      </c>
      <c r="E522" s="13" t="s">
        <v>1044</v>
      </c>
    </row>
    <row r="523" spans="1:5">
      <c r="A523" s="13">
        <v>306508</v>
      </c>
      <c r="B523" s="13" t="s">
        <v>244</v>
      </c>
      <c r="C523" s="13">
        <v>3065</v>
      </c>
      <c r="D523" s="13">
        <v>80</v>
      </c>
      <c r="E523" s="13" t="s">
        <v>1044</v>
      </c>
    </row>
    <row r="524" spans="1:5">
      <c r="A524" s="13">
        <v>306509</v>
      </c>
      <c r="B524" s="13" t="s">
        <v>244</v>
      </c>
      <c r="C524" s="13">
        <v>3065</v>
      </c>
      <c r="D524" s="13">
        <v>90</v>
      </c>
      <c r="E524" s="13" t="s">
        <v>1044</v>
      </c>
    </row>
    <row r="525" spans="1:5">
      <c r="A525" s="13">
        <v>306510</v>
      </c>
      <c r="B525" s="13" t="s">
        <v>244</v>
      </c>
      <c r="C525" s="13">
        <v>3065</v>
      </c>
      <c r="D525" s="13">
        <v>100</v>
      </c>
      <c r="E525" s="13" t="s">
        <v>1044</v>
      </c>
    </row>
    <row r="526" s="12" customFormat="1" spans="1:5">
      <c r="A526" s="18">
        <v>306601</v>
      </c>
      <c r="B526" s="18" t="s">
        <v>312</v>
      </c>
      <c r="C526" s="18">
        <v>3066</v>
      </c>
      <c r="D526" s="13">
        <v>10</v>
      </c>
      <c r="E526" s="13" t="s">
        <v>1042</v>
      </c>
    </row>
    <row r="527" s="12" customFormat="1" spans="1:5">
      <c r="A527" s="18">
        <v>306602</v>
      </c>
      <c r="B527" s="18" t="s">
        <v>312</v>
      </c>
      <c r="C527" s="18">
        <v>3066</v>
      </c>
      <c r="D527" s="13">
        <v>20</v>
      </c>
      <c r="E527" s="13" t="s">
        <v>1044</v>
      </c>
    </row>
    <row r="528" s="12" customFormat="1" spans="1:5">
      <c r="A528" s="18">
        <v>306603</v>
      </c>
      <c r="B528" s="18" t="s">
        <v>312</v>
      </c>
      <c r="C528" s="18">
        <v>3066</v>
      </c>
      <c r="D528" s="13">
        <v>30</v>
      </c>
      <c r="E528" s="13" t="s">
        <v>1044</v>
      </c>
    </row>
    <row r="529" s="12" customFormat="1" spans="1:5">
      <c r="A529" s="18">
        <v>306604</v>
      </c>
      <c r="B529" s="18" t="s">
        <v>312</v>
      </c>
      <c r="C529" s="18">
        <v>3066</v>
      </c>
      <c r="D529" s="13">
        <v>40</v>
      </c>
      <c r="E529" s="13" t="s">
        <v>1044</v>
      </c>
    </row>
    <row r="530" s="12" customFormat="1" spans="1:5">
      <c r="A530" s="18">
        <v>306605</v>
      </c>
      <c r="B530" s="18" t="s">
        <v>312</v>
      </c>
      <c r="C530" s="18">
        <v>3066</v>
      </c>
      <c r="D530" s="13">
        <v>50</v>
      </c>
      <c r="E530" s="13" t="s">
        <v>1042</v>
      </c>
    </row>
    <row r="531" s="12" customFormat="1" spans="1:5">
      <c r="A531" s="18">
        <v>306606</v>
      </c>
      <c r="B531" s="18" t="s">
        <v>312</v>
      </c>
      <c r="C531" s="18">
        <v>3066</v>
      </c>
      <c r="D531" s="13">
        <v>60</v>
      </c>
      <c r="E531" s="13" t="s">
        <v>1044</v>
      </c>
    </row>
    <row r="532" s="12" customFormat="1" spans="1:5">
      <c r="A532" s="18">
        <v>306607</v>
      </c>
      <c r="B532" s="18" t="s">
        <v>312</v>
      </c>
      <c r="C532" s="18">
        <v>3066</v>
      </c>
      <c r="D532" s="13">
        <v>70</v>
      </c>
      <c r="E532" s="13" t="s">
        <v>1044</v>
      </c>
    </row>
    <row r="533" s="12" customFormat="1" spans="1:5">
      <c r="A533" s="18">
        <v>306608</v>
      </c>
      <c r="B533" s="18" t="s">
        <v>312</v>
      </c>
      <c r="C533" s="18">
        <v>3066</v>
      </c>
      <c r="D533" s="13">
        <v>80</v>
      </c>
      <c r="E533" s="13" t="s">
        <v>1044</v>
      </c>
    </row>
    <row r="534" s="12" customFormat="1" spans="1:5">
      <c r="A534" s="18">
        <v>306609</v>
      </c>
      <c r="B534" s="18" t="s">
        <v>312</v>
      </c>
      <c r="C534" s="18">
        <v>3066</v>
      </c>
      <c r="D534" s="13">
        <v>90</v>
      </c>
      <c r="E534" s="13" t="s">
        <v>1044</v>
      </c>
    </row>
    <row r="535" s="12" customFormat="1" spans="1:5">
      <c r="A535" s="18">
        <v>306610</v>
      </c>
      <c r="B535" s="18" t="s">
        <v>312</v>
      </c>
      <c r="C535" s="18">
        <v>3066</v>
      </c>
      <c r="D535" s="13">
        <v>100</v>
      </c>
      <c r="E535" s="13" t="s">
        <v>1044</v>
      </c>
    </row>
    <row r="536" s="12" customFormat="1" spans="1:5">
      <c r="A536" s="18">
        <v>306701</v>
      </c>
      <c r="B536" s="18" t="s">
        <v>315</v>
      </c>
      <c r="C536" s="18">
        <v>3067</v>
      </c>
      <c r="D536" s="13">
        <v>10</v>
      </c>
      <c r="E536" s="13" t="s">
        <v>1042</v>
      </c>
    </row>
    <row r="537" s="12" customFormat="1" spans="1:5">
      <c r="A537" s="18">
        <v>306702</v>
      </c>
      <c r="B537" s="18" t="s">
        <v>315</v>
      </c>
      <c r="C537" s="18">
        <v>3067</v>
      </c>
      <c r="D537" s="13">
        <v>20</v>
      </c>
      <c r="E537" s="13" t="s">
        <v>1044</v>
      </c>
    </row>
    <row r="538" s="12" customFormat="1" spans="1:5">
      <c r="A538" s="18">
        <v>306703</v>
      </c>
      <c r="B538" s="18" t="s">
        <v>315</v>
      </c>
      <c r="C538" s="18">
        <v>3067</v>
      </c>
      <c r="D538" s="13">
        <v>30</v>
      </c>
      <c r="E538" s="13" t="s">
        <v>1044</v>
      </c>
    </row>
    <row r="539" s="12" customFormat="1" spans="1:5">
      <c r="A539" s="18">
        <v>306704</v>
      </c>
      <c r="B539" s="18" t="s">
        <v>315</v>
      </c>
      <c r="C539" s="18">
        <v>3067</v>
      </c>
      <c r="D539" s="13">
        <v>40</v>
      </c>
      <c r="E539" s="13" t="s">
        <v>1044</v>
      </c>
    </row>
    <row r="540" s="12" customFormat="1" spans="1:5">
      <c r="A540" s="18">
        <v>306705</v>
      </c>
      <c r="B540" s="18" t="s">
        <v>315</v>
      </c>
      <c r="C540" s="18">
        <v>3067</v>
      </c>
      <c r="D540" s="13">
        <v>50</v>
      </c>
      <c r="E540" s="13" t="s">
        <v>1042</v>
      </c>
    </row>
    <row r="541" s="12" customFormat="1" spans="1:5">
      <c r="A541" s="18">
        <v>306706</v>
      </c>
      <c r="B541" s="18" t="s">
        <v>315</v>
      </c>
      <c r="C541" s="18">
        <v>3067</v>
      </c>
      <c r="D541" s="13">
        <v>60</v>
      </c>
      <c r="E541" s="13" t="s">
        <v>1044</v>
      </c>
    </row>
    <row r="542" s="12" customFormat="1" spans="1:5">
      <c r="A542" s="18">
        <v>306707</v>
      </c>
      <c r="B542" s="18" t="s">
        <v>315</v>
      </c>
      <c r="C542" s="18">
        <v>3067</v>
      </c>
      <c r="D542" s="13">
        <v>70</v>
      </c>
      <c r="E542" s="13" t="s">
        <v>1044</v>
      </c>
    </row>
    <row r="543" s="12" customFormat="1" spans="1:5">
      <c r="A543" s="18">
        <v>306708</v>
      </c>
      <c r="B543" s="18" t="s">
        <v>315</v>
      </c>
      <c r="C543" s="18">
        <v>3067</v>
      </c>
      <c r="D543" s="13">
        <v>80</v>
      </c>
      <c r="E543" s="13" t="s">
        <v>1044</v>
      </c>
    </row>
    <row r="544" s="12" customFormat="1" spans="1:5">
      <c r="A544" s="18">
        <v>306709</v>
      </c>
      <c r="B544" s="18" t="s">
        <v>315</v>
      </c>
      <c r="C544" s="18">
        <v>3067</v>
      </c>
      <c r="D544" s="13">
        <v>90</v>
      </c>
      <c r="E544" s="13" t="s">
        <v>1044</v>
      </c>
    </row>
    <row r="545" s="12" customFormat="1" spans="1:5">
      <c r="A545" s="18">
        <v>306710</v>
      </c>
      <c r="B545" s="18" t="s">
        <v>315</v>
      </c>
      <c r="C545" s="18">
        <v>3067</v>
      </c>
      <c r="D545" s="13">
        <v>100</v>
      </c>
      <c r="E545" s="13" t="s">
        <v>1044</v>
      </c>
    </row>
    <row r="546" s="12" customFormat="1" spans="1:5">
      <c r="A546" s="18">
        <v>306801</v>
      </c>
      <c r="B546" s="18" t="s">
        <v>318</v>
      </c>
      <c r="C546" s="18">
        <v>3068</v>
      </c>
      <c r="D546" s="13">
        <v>10</v>
      </c>
      <c r="E546" s="13" t="s">
        <v>1042</v>
      </c>
    </row>
    <row r="547" s="12" customFormat="1" spans="1:5">
      <c r="A547" s="18">
        <v>306802</v>
      </c>
      <c r="B547" s="18" t="s">
        <v>318</v>
      </c>
      <c r="C547" s="18">
        <v>3068</v>
      </c>
      <c r="D547" s="13">
        <v>20</v>
      </c>
      <c r="E547" s="13" t="s">
        <v>1044</v>
      </c>
    </row>
    <row r="548" s="12" customFormat="1" spans="1:5">
      <c r="A548" s="18">
        <v>306803</v>
      </c>
      <c r="B548" s="18" t="s">
        <v>318</v>
      </c>
      <c r="C548" s="18">
        <v>3068</v>
      </c>
      <c r="D548" s="13">
        <v>30</v>
      </c>
      <c r="E548" s="13" t="s">
        <v>1044</v>
      </c>
    </row>
    <row r="549" s="12" customFormat="1" spans="1:5">
      <c r="A549" s="18">
        <v>306804</v>
      </c>
      <c r="B549" s="18" t="s">
        <v>318</v>
      </c>
      <c r="C549" s="18">
        <v>3068</v>
      </c>
      <c r="D549" s="13">
        <v>40</v>
      </c>
      <c r="E549" s="13" t="s">
        <v>1044</v>
      </c>
    </row>
    <row r="550" s="12" customFormat="1" spans="1:5">
      <c r="A550" s="18">
        <v>306805</v>
      </c>
      <c r="B550" s="18" t="s">
        <v>318</v>
      </c>
      <c r="C550" s="18">
        <v>3068</v>
      </c>
      <c r="D550" s="13">
        <v>50</v>
      </c>
      <c r="E550" s="13" t="s">
        <v>1042</v>
      </c>
    </row>
    <row r="551" s="12" customFormat="1" spans="1:5">
      <c r="A551" s="18">
        <v>306806</v>
      </c>
      <c r="B551" s="18" t="s">
        <v>318</v>
      </c>
      <c r="C551" s="18">
        <v>3068</v>
      </c>
      <c r="D551" s="13">
        <v>60</v>
      </c>
      <c r="E551" s="13" t="s">
        <v>1044</v>
      </c>
    </row>
    <row r="552" s="12" customFormat="1" spans="1:5">
      <c r="A552" s="18">
        <v>306807</v>
      </c>
      <c r="B552" s="18" t="s">
        <v>318</v>
      </c>
      <c r="C552" s="18">
        <v>3068</v>
      </c>
      <c r="D552" s="13">
        <v>70</v>
      </c>
      <c r="E552" s="13" t="s">
        <v>1044</v>
      </c>
    </row>
    <row r="553" s="12" customFormat="1" spans="1:5">
      <c r="A553" s="18">
        <v>306808</v>
      </c>
      <c r="B553" s="18" t="s">
        <v>318</v>
      </c>
      <c r="C553" s="18">
        <v>3068</v>
      </c>
      <c r="D553" s="13">
        <v>80</v>
      </c>
      <c r="E553" s="13" t="s">
        <v>1044</v>
      </c>
    </row>
    <row r="554" s="12" customFormat="1" spans="1:5">
      <c r="A554" s="18">
        <v>306809</v>
      </c>
      <c r="B554" s="18" t="s">
        <v>318</v>
      </c>
      <c r="C554" s="18">
        <v>3068</v>
      </c>
      <c r="D554" s="13">
        <v>90</v>
      </c>
      <c r="E554" s="13" t="s">
        <v>1044</v>
      </c>
    </row>
    <row r="555" s="12" customFormat="1" spans="1:5">
      <c r="A555" s="18">
        <v>306901</v>
      </c>
      <c r="B555" s="18" t="s">
        <v>321</v>
      </c>
      <c r="C555" s="18">
        <v>3069</v>
      </c>
      <c r="D555" s="13">
        <v>10</v>
      </c>
      <c r="E555" s="13" t="s">
        <v>1042</v>
      </c>
    </row>
    <row r="556" s="12" customFormat="1" spans="1:5">
      <c r="A556" s="18">
        <v>306902</v>
      </c>
      <c r="B556" s="18" t="s">
        <v>321</v>
      </c>
      <c r="C556" s="18">
        <v>3069</v>
      </c>
      <c r="D556" s="13">
        <v>20</v>
      </c>
      <c r="E556" s="13" t="s">
        <v>1044</v>
      </c>
    </row>
    <row r="557" s="12" customFormat="1" spans="1:5">
      <c r="A557" s="18">
        <v>306903</v>
      </c>
      <c r="B557" s="18" t="s">
        <v>321</v>
      </c>
      <c r="C557" s="18">
        <v>3069</v>
      </c>
      <c r="D557" s="13">
        <v>30</v>
      </c>
      <c r="E557" s="13" t="s">
        <v>1044</v>
      </c>
    </row>
    <row r="558" s="12" customFormat="1" spans="1:5">
      <c r="A558" s="18">
        <v>306904</v>
      </c>
      <c r="B558" s="18" t="s">
        <v>321</v>
      </c>
      <c r="C558" s="18">
        <v>3069</v>
      </c>
      <c r="D558" s="13">
        <v>40</v>
      </c>
      <c r="E558" s="13" t="s">
        <v>1044</v>
      </c>
    </row>
    <row r="559" s="12" customFormat="1" spans="1:5">
      <c r="A559" s="18">
        <v>306905</v>
      </c>
      <c r="B559" s="18" t="s">
        <v>321</v>
      </c>
      <c r="C559" s="18">
        <v>3069</v>
      </c>
      <c r="D559" s="13">
        <v>50</v>
      </c>
      <c r="E559" s="13" t="s">
        <v>1042</v>
      </c>
    </row>
    <row r="560" s="12" customFormat="1" spans="1:5">
      <c r="A560" s="18">
        <v>306906</v>
      </c>
      <c r="B560" s="18" t="s">
        <v>321</v>
      </c>
      <c r="C560" s="18">
        <v>3069</v>
      </c>
      <c r="D560" s="13">
        <v>60</v>
      </c>
      <c r="E560" s="13" t="s">
        <v>1044</v>
      </c>
    </row>
    <row r="561" s="12" customFormat="1" spans="1:5">
      <c r="A561" s="18">
        <v>306907</v>
      </c>
      <c r="B561" s="18" t="s">
        <v>321</v>
      </c>
      <c r="C561" s="18">
        <v>3069</v>
      </c>
      <c r="D561" s="13">
        <v>70</v>
      </c>
      <c r="E561" s="13" t="s">
        <v>1044</v>
      </c>
    </row>
    <row r="562" s="12" customFormat="1" spans="1:5">
      <c r="A562" s="18">
        <v>306908</v>
      </c>
      <c r="B562" s="18" t="s">
        <v>321</v>
      </c>
      <c r="C562" s="18">
        <v>3069</v>
      </c>
      <c r="D562" s="13">
        <v>80</v>
      </c>
      <c r="E562" s="13" t="s">
        <v>1044</v>
      </c>
    </row>
    <row r="563" s="12" customFormat="1" spans="1:5">
      <c r="A563" s="18">
        <v>306909</v>
      </c>
      <c r="B563" s="18" t="s">
        <v>321</v>
      </c>
      <c r="C563" s="18">
        <v>3069</v>
      </c>
      <c r="D563" s="13">
        <v>90</v>
      </c>
      <c r="E563" s="13" t="s">
        <v>1044</v>
      </c>
    </row>
    <row r="564" s="12" customFormat="1" spans="1:5">
      <c r="A564" s="18">
        <v>306910</v>
      </c>
      <c r="B564" s="18" t="s">
        <v>321</v>
      </c>
      <c r="C564" s="18">
        <v>3069</v>
      </c>
      <c r="D564" s="13">
        <v>100</v>
      </c>
      <c r="E564" s="13" t="s">
        <v>1044</v>
      </c>
    </row>
    <row r="565" s="12" customFormat="1" spans="1:5">
      <c r="A565" s="18">
        <v>307001</v>
      </c>
      <c r="B565" s="18" t="s">
        <v>325</v>
      </c>
      <c r="C565" s="18">
        <v>3070</v>
      </c>
      <c r="D565" s="13">
        <v>10</v>
      </c>
      <c r="E565" s="13" t="s">
        <v>1042</v>
      </c>
    </row>
    <row r="566" s="12" customFormat="1" spans="1:5">
      <c r="A566" s="18">
        <v>307002</v>
      </c>
      <c r="B566" s="18" t="s">
        <v>325</v>
      </c>
      <c r="C566" s="18">
        <v>3070</v>
      </c>
      <c r="D566" s="13">
        <v>20</v>
      </c>
      <c r="E566" s="13" t="s">
        <v>1044</v>
      </c>
    </row>
    <row r="567" s="12" customFormat="1" spans="1:5">
      <c r="A567" s="18">
        <v>307003</v>
      </c>
      <c r="B567" s="18" t="s">
        <v>325</v>
      </c>
      <c r="C567" s="18">
        <v>3070</v>
      </c>
      <c r="D567" s="13">
        <v>30</v>
      </c>
      <c r="E567" s="13" t="s">
        <v>1044</v>
      </c>
    </row>
    <row r="568" s="12" customFormat="1" spans="1:5">
      <c r="A568" s="18">
        <v>307004</v>
      </c>
      <c r="B568" s="18" t="s">
        <v>325</v>
      </c>
      <c r="C568" s="18">
        <v>3070</v>
      </c>
      <c r="D568" s="13">
        <v>40</v>
      </c>
      <c r="E568" s="13" t="s">
        <v>1044</v>
      </c>
    </row>
    <row r="569" s="12" customFormat="1" spans="1:5">
      <c r="A569" s="18">
        <v>307005</v>
      </c>
      <c r="B569" s="18" t="s">
        <v>325</v>
      </c>
      <c r="C569" s="18">
        <v>3070</v>
      </c>
      <c r="D569" s="13">
        <v>50</v>
      </c>
      <c r="E569" s="13" t="s">
        <v>1042</v>
      </c>
    </row>
    <row r="570" s="12" customFormat="1" spans="1:5">
      <c r="A570" s="18">
        <v>307006</v>
      </c>
      <c r="B570" s="18" t="s">
        <v>325</v>
      </c>
      <c r="C570" s="18">
        <v>3070</v>
      </c>
      <c r="D570" s="13">
        <v>60</v>
      </c>
      <c r="E570" s="13" t="s">
        <v>1044</v>
      </c>
    </row>
    <row r="571" s="12" customFormat="1" spans="1:5">
      <c r="A571" s="18">
        <v>307007</v>
      </c>
      <c r="B571" s="18" t="s">
        <v>325</v>
      </c>
      <c r="C571" s="18">
        <v>3070</v>
      </c>
      <c r="D571" s="13">
        <v>70</v>
      </c>
      <c r="E571" s="13" t="s">
        <v>1044</v>
      </c>
    </row>
    <row r="572" s="12" customFormat="1" spans="1:5">
      <c r="A572" s="18">
        <v>307008</v>
      </c>
      <c r="B572" s="18" t="s">
        <v>325</v>
      </c>
      <c r="C572" s="18">
        <v>3070</v>
      </c>
      <c r="D572" s="13">
        <v>80</v>
      </c>
      <c r="E572" s="13" t="s">
        <v>1044</v>
      </c>
    </row>
    <row r="573" s="12" customFormat="1" spans="1:5">
      <c r="A573" s="18">
        <v>307009</v>
      </c>
      <c r="B573" s="18" t="s">
        <v>325</v>
      </c>
      <c r="C573" s="18">
        <v>3070</v>
      </c>
      <c r="D573" s="13">
        <v>90</v>
      </c>
      <c r="E573" s="13" t="s">
        <v>1044</v>
      </c>
    </row>
    <row r="574" s="12" customFormat="1" spans="1:5">
      <c r="A574" s="18">
        <v>307010</v>
      </c>
      <c r="B574" s="18" t="s">
        <v>325</v>
      </c>
      <c r="C574" s="18">
        <v>3070</v>
      </c>
      <c r="D574" s="13">
        <v>100</v>
      </c>
      <c r="E574" s="13" t="s">
        <v>1044</v>
      </c>
    </row>
    <row r="575" s="12" customFormat="1" spans="1:5">
      <c r="A575" s="18">
        <v>307101</v>
      </c>
      <c r="B575" s="18" t="s">
        <v>329</v>
      </c>
      <c r="C575" s="18">
        <v>3071</v>
      </c>
      <c r="D575" s="13">
        <v>10</v>
      </c>
      <c r="E575" s="13" t="s">
        <v>1042</v>
      </c>
    </row>
    <row r="576" s="12" customFormat="1" spans="1:5">
      <c r="A576" s="18">
        <v>307102</v>
      </c>
      <c r="B576" s="18" t="s">
        <v>329</v>
      </c>
      <c r="C576" s="18">
        <v>3071</v>
      </c>
      <c r="D576" s="13">
        <v>20</v>
      </c>
      <c r="E576" s="13" t="s">
        <v>1044</v>
      </c>
    </row>
    <row r="577" s="12" customFormat="1" spans="1:5">
      <c r="A577" s="18">
        <v>307103</v>
      </c>
      <c r="B577" s="18" t="s">
        <v>329</v>
      </c>
      <c r="C577" s="18">
        <v>3071</v>
      </c>
      <c r="D577" s="13">
        <v>30</v>
      </c>
      <c r="E577" s="13" t="s">
        <v>1044</v>
      </c>
    </row>
    <row r="578" s="12" customFormat="1" spans="1:5">
      <c r="A578" s="18">
        <v>307104</v>
      </c>
      <c r="B578" s="18" t="s">
        <v>329</v>
      </c>
      <c r="C578" s="18">
        <v>3071</v>
      </c>
      <c r="D578" s="13">
        <v>40</v>
      </c>
      <c r="E578" s="13" t="s">
        <v>1044</v>
      </c>
    </row>
    <row r="579" s="12" customFormat="1" spans="1:5">
      <c r="A579" s="18">
        <v>307105</v>
      </c>
      <c r="B579" s="18" t="s">
        <v>329</v>
      </c>
      <c r="C579" s="18">
        <v>3071</v>
      </c>
      <c r="D579" s="13">
        <v>50</v>
      </c>
      <c r="E579" s="13" t="s">
        <v>1042</v>
      </c>
    </row>
    <row r="580" s="12" customFormat="1" spans="1:5">
      <c r="A580" s="18">
        <v>307106</v>
      </c>
      <c r="B580" s="18" t="s">
        <v>329</v>
      </c>
      <c r="C580" s="18">
        <v>3071</v>
      </c>
      <c r="D580" s="13">
        <v>60</v>
      </c>
      <c r="E580" s="13" t="s">
        <v>1044</v>
      </c>
    </row>
    <row r="581" s="12" customFormat="1" spans="1:5">
      <c r="A581" s="18">
        <v>307107</v>
      </c>
      <c r="B581" s="18" t="s">
        <v>329</v>
      </c>
      <c r="C581" s="18">
        <v>3071</v>
      </c>
      <c r="D581" s="13">
        <v>70</v>
      </c>
      <c r="E581" s="13" t="s">
        <v>1044</v>
      </c>
    </row>
    <row r="582" s="12" customFormat="1" spans="1:5">
      <c r="A582" s="18">
        <v>307108</v>
      </c>
      <c r="B582" s="18" t="s">
        <v>329</v>
      </c>
      <c r="C582" s="18">
        <v>3071</v>
      </c>
      <c r="D582" s="13">
        <v>80</v>
      </c>
      <c r="E582" s="13" t="s">
        <v>1044</v>
      </c>
    </row>
    <row r="583" s="12" customFormat="1" spans="1:5">
      <c r="A583" s="18">
        <v>307109</v>
      </c>
      <c r="B583" s="18" t="s">
        <v>329</v>
      </c>
      <c r="C583" s="18">
        <v>3071</v>
      </c>
      <c r="D583" s="13">
        <v>90</v>
      </c>
      <c r="E583" s="13" t="s">
        <v>1044</v>
      </c>
    </row>
    <row r="584" s="12" customFormat="1" spans="1:5">
      <c r="A584" s="18">
        <v>307110</v>
      </c>
      <c r="B584" s="18" t="s">
        <v>329</v>
      </c>
      <c r="C584" s="18">
        <v>3071</v>
      </c>
      <c r="D584" s="13">
        <v>100</v>
      </c>
      <c r="E584" s="13" t="s">
        <v>1044</v>
      </c>
    </row>
    <row r="585" spans="1:5">
      <c r="A585" s="13">
        <v>307201</v>
      </c>
      <c r="B585" s="13" t="s">
        <v>332</v>
      </c>
      <c r="C585" s="13">
        <v>3072</v>
      </c>
      <c r="D585" s="13">
        <v>10</v>
      </c>
      <c r="E585" s="13" t="s">
        <v>1042</v>
      </c>
    </row>
    <row r="586" spans="1:5">
      <c r="A586" s="13">
        <v>307202</v>
      </c>
      <c r="B586" s="13" t="s">
        <v>332</v>
      </c>
      <c r="C586" s="13">
        <v>3072</v>
      </c>
      <c r="D586" s="13">
        <v>20</v>
      </c>
      <c r="E586" s="13" t="s">
        <v>1044</v>
      </c>
    </row>
    <row r="587" spans="1:5">
      <c r="A587" s="13">
        <v>307203</v>
      </c>
      <c r="B587" s="13" t="s">
        <v>332</v>
      </c>
      <c r="C587" s="13">
        <v>3072</v>
      </c>
      <c r="D587" s="13">
        <v>30</v>
      </c>
      <c r="E587" s="13" t="s">
        <v>1044</v>
      </c>
    </row>
    <row r="588" spans="1:5">
      <c r="A588" s="13">
        <v>307204</v>
      </c>
      <c r="B588" s="13" t="s">
        <v>332</v>
      </c>
      <c r="C588" s="13">
        <v>3072</v>
      </c>
      <c r="D588" s="13">
        <v>40</v>
      </c>
      <c r="E588" s="13" t="s">
        <v>1044</v>
      </c>
    </row>
    <row r="589" spans="1:5">
      <c r="A589" s="13">
        <v>307205</v>
      </c>
      <c r="B589" s="13" t="s">
        <v>332</v>
      </c>
      <c r="C589" s="13">
        <v>3072</v>
      </c>
      <c r="D589" s="13">
        <v>50</v>
      </c>
      <c r="E589" s="13" t="s">
        <v>1042</v>
      </c>
    </row>
    <row r="590" spans="1:5">
      <c r="A590" s="13">
        <v>307206</v>
      </c>
      <c r="B590" s="13" t="s">
        <v>332</v>
      </c>
      <c r="C590" s="13">
        <v>3072</v>
      </c>
      <c r="D590" s="13">
        <v>60</v>
      </c>
      <c r="E590" s="13" t="s">
        <v>1044</v>
      </c>
    </row>
    <row r="591" spans="1:5">
      <c r="A591" s="13">
        <v>307207</v>
      </c>
      <c r="B591" s="13" t="s">
        <v>332</v>
      </c>
      <c r="C591" s="13">
        <v>3072</v>
      </c>
      <c r="D591" s="13">
        <v>70</v>
      </c>
      <c r="E591" s="13" t="s">
        <v>1044</v>
      </c>
    </row>
    <row r="592" spans="1:5">
      <c r="A592" s="13">
        <v>307208</v>
      </c>
      <c r="B592" s="13" t="s">
        <v>332</v>
      </c>
      <c r="C592" s="13">
        <v>3072</v>
      </c>
      <c r="D592" s="13">
        <v>80</v>
      </c>
      <c r="E592" s="13" t="s">
        <v>1044</v>
      </c>
    </row>
    <row r="593" spans="1:5">
      <c r="A593" s="13">
        <v>307209</v>
      </c>
      <c r="B593" s="13" t="s">
        <v>332</v>
      </c>
      <c r="C593" s="13">
        <v>3072</v>
      </c>
      <c r="D593" s="13">
        <v>90</v>
      </c>
      <c r="E593" s="13" t="s">
        <v>1044</v>
      </c>
    </row>
    <row r="594" spans="1:5">
      <c r="A594" s="13">
        <v>307210</v>
      </c>
      <c r="B594" s="13" t="s">
        <v>332</v>
      </c>
      <c r="C594" s="13">
        <v>3072</v>
      </c>
      <c r="D594" s="13">
        <v>100</v>
      </c>
      <c r="E594" s="13" t="s">
        <v>1044</v>
      </c>
    </row>
    <row r="595" spans="1:5">
      <c r="A595" s="13">
        <v>307301</v>
      </c>
      <c r="B595" s="13" t="s">
        <v>336</v>
      </c>
      <c r="C595" s="13">
        <v>3073</v>
      </c>
      <c r="D595" s="13">
        <v>10</v>
      </c>
      <c r="E595" s="13" t="s">
        <v>1042</v>
      </c>
    </row>
    <row r="596" spans="1:5">
      <c r="A596" s="13">
        <v>307302</v>
      </c>
      <c r="B596" s="13" t="s">
        <v>336</v>
      </c>
      <c r="C596" s="13">
        <v>3073</v>
      </c>
      <c r="D596" s="13">
        <v>20</v>
      </c>
      <c r="E596" s="13" t="s">
        <v>1044</v>
      </c>
    </row>
    <row r="597" spans="1:5">
      <c r="A597" s="13">
        <v>307303</v>
      </c>
      <c r="B597" s="13" t="s">
        <v>336</v>
      </c>
      <c r="C597" s="13">
        <v>3073</v>
      </c>
      <c r="D597" s="13">
        <v>30</v>
      </c>
      <c r="E597" s="13" t="s">
        <v>1044</v>
      </c>
    </row>
    <row r="598" spans="1:5">
      <c r="A598" s="13">
        <v>307304</v>
      </c>
      <c r="B598" s="13" t="s">
        <v>336</v>
      </c>
      <c r="C598" s="13">
        <v>3073</v>
      </c>
      <c r="D598" s="13">
        <v>40</v>
      </c>
      <c r="E598" s="13" t="s">
        <v>1044</v>
      </c>
    </row>
    <row r="599" spans="1:5">
      <c r="A599" s="13">
        <v>307305</v>
      </c>
      <c r="B599" s="13" t="s">
        <v>336</v>
      </c>
      <c r="C599" s="13">
        <v>3073</v>
      </c>
      <c r="D599" s="13">
        <v>50</v>
      </c>
      <c r="E599" s="13" t="s">
        <v>1042</v>
      </c>
    </row>
    <row r="600" spans="1:5">
      <c r="A600" s="13">
        <v>307306</v>
      </c>
      <c r="B600" s="13" t="s">
        <v>336</v>
      </c>
      <c r="C600" s="13">
        <v>3073</v>
      </c>
      <c r="D600" s="13">
        <v>60</v>
      </c>
      <c r="E600" s="13" t="s">
        <v>1044</v>
      </c>
    </row>
    <row r="601" spans="1:5">
      <c r="A601" s="13">
        <v>307307</v>
      </c>
      <c r="B601" s="13" t="s">
        <v>336</v>
      </c>
      <c r="C601" s="13">
        <v>3073</v>
      </c>
      <c r="D601" s="13">
        <v>70</v>
      </c>
      <c r="E601" s="13" t="s">
        <v>1044</v>
      </c>
    </row>
    <row r="602" spans="1:5">
      <c r="A602" s="13">
        <v>307308</v>
      </c>
      <c r="B602" s="13" t="s">
        <v>336</v>
      </c>
      <c r="C602" s="13">
        <v>3073</v>
      </c>
      <c r="D602" s="13">
        <v>80</v>
      </c>
      <c r="E602" s="13" t="s">
        <v>1044</v>
      </c>
    </row>
    <row r="603" spans="1:5">
      <c r="A603" s="13">
        <v>307309</v>
      </c>
      <c r="B603" s="13" t="s">
        <v>336</v>
      </c>
      <c r="C603" s="13">
        <v>3073</v>
      </c>
      <c r="D603" s="13">
        <v>90</v>
      </c>
      <c r="E603" s="13" t="s">
        <v>1044</v>
      </c>
    </row>
    <row r="604" spans="1:5">
      <c r="A604" s="13">
        <v>307310</v>
      </c>
      <c r="B604" s="13" t="s">
        <v>336</v>
      </c>
      <c r="C604" s="13">
        <v>3073</v>
      </c>
      <c r="D604" s="13">
        <v>100</v>
      </c>
      <c r="E604" s="13" t="s">
        <v>1044</v>
      </c>
    </row>
    <row r="605" spans="1:5">
      <c r="A605" s="13">
        <v>307401</v>
      </c>
      <c r="B605" s="13" t="s">
        <v>340</v>
      </c>
      <c r="C605" s="13">
        <v>3074</v>
      </c>
      <c r="D605" s="13">
        <v>10</v>
      </c>
      <c r="E605" s="13" t="s">
        <v>1042</v>
      </c>
    </row>
    <row r="606" spans="1:5">
      <c r="A606" s="13">
        <v>307402</v>
      </c>
      <c r="B606" s="13" t="s">
        <v>340</v>
      </c>
      <c r="C606" s="13">
        <v>3074</v>
      </c>
      <c r="D606" s="13">
        <v>20</v>
      </c>
      <c r="E606" s="13" t="s">
        <v>1044</v>
      </c>
    </row>
    <row r="607" spans="1:5">
      <c r="A607" s="13">
        <v>307403</v>
      </c>
      <c r="B607" s="13" t="s">
        <v>340</v>
      </c>
      <c r="C607" s="13">
        <v>3074</v>
      </c>
      <c r="D607" s="13">
        <v>30</v>
      </c>
      <c r="E607" s="13" t="s">
        <v>1044</v>
      </c>
    </row>
    <row r="608" spans="1:5">
      <c r="A608" s="13">
        <v>307404</v>
      </c>
      <c r="B608" s="13" t="s">
        <v>340</v>
      </c>
      <c r="C608" s="13">
        <v>3074</v>
      </c>
      <c r="D608" s="13">
        <v>40</v>
      </c>
      <c r="E608" s="13" t="s">
        <v>1044</v>
      </c>
    </row>
    <row r="609" spans="1:5">
      <c r="A609" s="13">
        <v>307405</v>
      </c>
      <c r="B609" s="13" t="s">
        <v>340</v>
      </c>
      <c r="C609" s="13">
        <v>3074</v>
      </c>
      <c r="D609" s="13">
        <v>50</v>
      </c>
      <c r="E609" s="13" t="s">
        <v>1042</v>
      </c>
    </row>
    <row r="610" spans="1:5">
      <c r="A610" s="13">
        <v>307406</v>
      </c>
      <c r="B610" s="13" t="s">
        <v>340</v>
      </c>
      <c r="C610" s="13">
        <v>3074</v>
      </c>
      <c r="D610" s="13">
        <v>60</v>
      </c>
      <c r="E610" s="13" t="s">
        <v>1044</v>
      </c>
    </row>
    <row r="611" spans="1:5">
      <c r="A611" s="13">
        <v>307407</v>
      </c>
      <c r="B611" s="13" t="s">
        <v>340</v>
      </c>
      <c r="C611" s="13">
        <v>3074</v>
      </c>
      <c r="D611" s="13">
        <v>70</v>
      </c>
      <c r="E611" s="13" t="s">
        <v>1044</v>
      </c>
    </row>
    <row r="612" spans="1:5">
      <c r="A612" s="13">
        <v>307408</v>
      </c>
      <c r="B612" s="13" t="s">
        <v>340</v>
      </c>
      <c r="C612" s="13">
        <v>3074</v>
      </c>
      <c r="D612" s="13">
        <v>80</v>
      </c>
      <c r="E612" s="13" t="s">
        <v>1044</v>
      </c>
    </row>
    <row r="613" spans="1:5">
      <c r="A613" s="13">
        <v>307409</v>
      </c>
      <c r="B613" s="13" t="s">
        <v>340</v>
      </c>
      <c r="C613" s="13">
        <v>3074</v>
      </c>
      <c r="D613" s="13">
        <v>90</v>
      </c>
      <c r="E613" s="13" t="s">
        <v>1044</v>
      </c>
    </row>
    <row r="614" spans="1:5">
      <c r="A614" s="13">
        <v>307410</v>
      </c>
      <c r="B614" s="13" t="s">
        <v>340</v>
      </c>
      <c r="C614" s="13">
        <v>3074</v>
      </c>
      <c r="D614" s="13">
        <v>100</v>
      </c>
      <c r="E614" s="13" t="s">
        <v>1044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1" tint="0.499984740745262"/>
  </sheetPr>
  <dimension ref="A1:F44"/>
  <sheetViews>
    <sheetView workbookViewId="0">
      <selection activeCell="E38" sqref="E38"/>
    </sheetView>
  </sheetViews>
  <sheetFormatPr defaultColWidth="6.75" defaultRowHeight="16.5" outlineLevelCol="5"/>
  <cols>
    <col min="1" max="1" width="9.25" style="4" customWidth="1"/>
    <col min="2" max="2" width="7.875" style="5" customWidth="1"/>
    <col min="3" max="4" width="20.125" style="4" customWidth="1"/>
    <col min="5" max="5" width="155.625" style="4" customWidth="1"/>
    <col min="6" max="6" width="87.125" style="4" customWidth="1"/>
    <col min="7" max="16384" width="6.75" style="4"/>
  </cols>
  <sheetData>
    <row r="1" spans="1:6">
      <c r="A1" s="6" t="s">
        <v>0</v>
      </c>
      <c r="B1" s="7"/>
      <c r="C1" s="7"/>
      <c r="D1" s="6" t="s">
        <v>1338</v>
      </c>
      <c r="E1" s="6" t="s">
        <v>1339</v>
      </c>
      <c r="F1" s="6" t="s">
        <v>1340</v>
      </c>
    </row>
    <row r="2" spans="1:6">
      <c r="A2" s="6" t="s">
        <v>0</v>
      </c>
      <c r="B2" s="7"/>
      <c r="C2" s="7"/>
      <c r="D2" s="6" t="s">
        <v>1341</v>
      </c>
      <c r="E2" s="6" t="s">
        <v>1342</v>
      </c>
      <c r="F2" s="6" t="s">
        <v>479</v>
      </c>
    </row>
    <row r="3" s="3" customFormat="1" ht="33" spans="1:6">
      <c r="A3" s="8" t="s">
        <v>1343</v>
      </c>
      <c r="B3" s="9"/>
      <c r="C3" s="9"/>
      <c r="D3" s="8" t="s">
        <v>1344</v>
      </c>
      <c r="E3" s="8" t="s">
        <v>1345</v>
      </c>
      <c r="F3" s="8" t="s">
        <v>1346</v>
      </c>
    </row>
    <row r="4" spans="1:6">
      <c r="A4" s="6" t="s">
        <v>83</v>
      </c>
      <c r="B4" s="7"/>
      <c r="C4" s="7"/>
      <c r="D4" s="6" t="s">
        <v>84</v>
      </c>
      <c r="E4" s="6" t="s">
        <v>85</v>
      </c>
      <c r="F4" s="6" t="s">
        <v>1347</v>
      </c>
    </row>
    <row r="5" spans="1:6">
      <c r="A5" s="6" t="s">
        <v>1348</v>
      </c>
      <c r="B5" s="7"/>
      <c r="C5" s="7"/>
      <c r="D5" s="6"/>
      <c r="E5" s="6"/>
      <c r="F5" s="6"/>
    </row>
    <row r="6" spans="1:6">
      <c r="A6" s="10">
        <v>1</v>
      </c>
      <c r="B6" s="11" t="s">
        <v>1349</v>
      </c>
      <c r="C6" s="10" t="s">
        <v>89</v>
      </c>
      <c r="D6" s="10" t="s">
        <v>1350</v>
      </c>
      <c r="E6" s="10" t="s">
        <v>1351</v>
      </c>
      <c r="F6" s="10" t="s">
        <v>1352</v>
      </c>
    </row>
    <row r="7" spans="1:6">
      <c r="A7" s="10">
        <v>2</v>
      </c>
      <c r="B7" s="11" t="s">
        <v>1349</v>
      </c>
      <c r="C7" s="10" t="s">
        <v>419</v>
      </c>
      <c r="D7" s="10" t="s">
        <v>1353</v>
      </c>
      <c r="E7" s="10" t="s">
        <v>1351</v>
      </c>
      <c r="F7" s="10" t="s">
        <v>1354</v>
      </c>
    </row>
    <row r="8" spans="1:6">
      <c r="A8" s="10">
        <v>3</v>
      </c>
      <c r="B8" s="11" t="s">
        <v>1349</v>
      </c>
      <c r="C8" s="10" t="s">
        <v>1355</v>
      </c>
      <c r="D8" s="10" t="s">
        <v>1356</v>
      </c>
      <c r="E8" s="10" t="s">
        <v>1357</v>
      </c>
      <c r="F8" s="10" t="s">
        <v>1358</v>
      </c>
    </row>
    <row r="9" spans="1:6">
      <c r="A9" s="10">
        <v>4</v>
      </c>
      <c r="B9" s="11" t="s">
        <v>1349</v>
      </c>
      <c r="C9" s="10" t="s">
        <v>332</v>
      </c>
      <c r="D9" s="10" t="s">
        <v>1359</v>
      </c>
      <c r="E9" s="10" t="s">
        <v>1360</v>
      </c>
      <c r="F9" s="10" t="s">
        <v>1361</v>
      </c>
    </row>
    <row r="10" spans="1:6">
      <c r="A10" s="10">
        <v>5</v>
      </c>
      <c r="B10" s="11" t="s">
        <v>1349</v>
      </c>
      <c r="C10" s="10" t="s">
        <v>1335</v>
      </c>
      <c r="D10" s="10" t="s">
        <v>1350</v>
      </c>
      <c r="E10" s="10" t="s">
        <v>1351</v>
      </c>
      <c r="F10" s="10" t="s">
        <v>1362</v>
      </c>
    </row>
    <row r="11" spans="1:6">
      <c r="A11" s="10">
        <v>6</v>
      </c>
      <c r="B11" s="11" t="s">
        <v>1349</v>
      </c>
      <c r="C11" s="10" t="s">
        <v>290</v>
      </c>
      <c r="D11" s="10" t="s">
        <v>1353</v>
      </c>
      <c r="E11" s="10" t="s">
        <v>1351</v>
      </c>
      <c r="F11" s="10" t="s">
        <v>1354</v>
      </c>
    </row>
    <row r="12" spans="1:6">
      <c r="A12" s="10">
        <v>7</v>
      </c>
      <c r="B12" s="11" t="s">
        <v>1349</v>
      </c>
      <c r="C12" s="10" t="s">
        <v>113</v>
      </c>
      <c r="D12" s="10" t="s">
        <v>1363</v>
      </c>
      <c r="E12" s="10" t="s">
        <v>1364</v>
      </c>
      <c r="F12" s="10" t="s">
        <v>1365</v>
      </c>
    </row>
    <row r="13" spans="1:6">
      <c r="A13" s="10">
        <v>8</v>
      </c>
      <c r="B13" s="11" t="s">
        <v>1349</v>
      </c>
      <c r="C13" s="10" t="s">
        <v>114</v>
      </c>
      <c r="D13" s="10" t="s">
        <v>389</v>
      </c>
      <c r="E13" s="10" t="s">
        <v>1364</v>
      </c>
      <c r="F13" s="10" t="s">
        <v>1366</v>
      </c>
    </row>
    <row r="14" spans="1:6">
      <c r="A14" s="10">
        <v>9</v>
      </c>
      <c r="B14" s="11" t="s">
        <v>1349</v>
      </c>
      <c r="C14" s="10" t="s">
        <v>344</v>
      </c>
      <c r="D14" s="10" t="s">
        <v>1367</v>
      </c>
      <c r="E14" s="10" t="s">
        <v>1368</v>
      </c>
      <c r="F14" s="10" t="s">
        <v>1369</v>
      </c>
    </row>
    <row r="15" spans="1:6">
      <c r="A15" s="10">
        <v>10</v>
      </c>
      <c r="B15" s="11" t="s">
        <v>1349</v>
      </c>
      <c r="C15" s="10" t="s">
        <v>122</v>
      </c>
      <c r="D15" s="10" t="s">
        <v>1370</v>
      </c>
      <c r="E15" s="10" t="s">
        <v>1351</v>
      </c>
      <c r="F15" s="10" t="s">
        <v>1371</v>
      </c>
    </row>
    <row r="16" spans="1:6">
      <c r="A16" s="10">
        <v>11</v>
      </c>
      <c r="B16" s="11" t="s">
        <v>1349</v>
      </c>
      <c r="C16" s="10" t="s">
        <v>123</v>
      </c>
      <c r="D16" s="10" t="s">
        <v>1350</v>
      </c>
      <c r="E16" s="10" t="s">
        <v>1351</v>
      </c>
      <c r="F16" s="10" t="s">
        <v>1362</v>
      </c>
    </row>
    <row r="17" spans="1:6">
      <c r="A17" s="10">
        <v>12</v>
      </c>
      <c r="B17" s="11" t="s">
        <v>1349</v>
      </c>
      <c r="C17" s="10" t="s">
        <v>129</v>
      </c>
      <c r="D17" s="10" t="s">
        <v>1359</v>
      </c>
      <c r="E17" s="10" t="s">
        <v>1357</v>
      </c>
      <c r="F17" s="10" t="s">
        <v>1361</v>
      </c>
    </row>
    <row r="18" spans="1:6">
      <c r="A18" s="10">
        <v>13</v>
      </c>
      <c r="B18" s="11" t="s">
        <v>1349</v>
      </c>
      <c r="C18" s="10" t="s">
        <v>133</v>
      </c>
      <c r="D18" s="10" t="s">
        <v>1372</v>
      </c>
      <c r="E18" s="10" t="s">
        <v>1360</v>
      </c>
      <c r="F18" s="10" t="s">
        <v>1373</v>
      </c>
    </row>
    <row r="19" spans="1:6">
      <c r="A19" s="10">
        <v>14</v>
      </c>
      <c r="B19" s="11" t="s">
        <v>1349</v>
      </c>
      <c r="C19" s="10" t="s">
        <v>1374</v>
      </c>
      <c r="D19" s="10" t="s">
        <v>1350</v>
      </c>
      <c r="E19" s="10" t="s">
        <v>1351</v>
      </c>
      <c r="F19" s="10" t="s">
        <v>1362</v>
      </c>
    </row>
    <row r="20" spans="1:6">
      <c r="A20" s="10">
        <v>15</v>
      </c>
      <c r="B20" s="11" t="s">
        <v>1349</v>
      </c>
      <c r="C20" s="10" t="s">
        <v>312</v>
      </c>
      <c r="D20" s="10" t="s">
        <v>1353</v>
      </c>
      <c r="E20" s="10" t="s">
        <v>1351</v>
      </c>
      <c r="F20" s="10" t="s">
        <v>1354</v>
      </c>
    </row>
    <row r="21" spans="1:6">
      <c r="A21" s="10">
        <v>16</v>
      </c>
      <c r="B21" s="11" t="s">
        <v>1349</v>
      </c>
      <c r="C21" s="10" t="s">
        <v>1375</v>
      </c>
      <c r="D21" s="10" t="s">
        <v>1356</v>
      </c>
      <c r="E21" s="10" t="s">
        <v>1364</v>
      </c>
      <c r="F21" s="10" t="s">
        <v>1358</v>
      </c>
    </row>
    <row r="22" spans="1:6">
      <c r="A22" s="10">
        <v>17</v>
      </c>
      <c r="B22" s="11" t="s">
        <v>1349</v>
      </c>
      <c r="C22" s="10" t="s">
        <v>108</v>
      </c>
      <c r="D22" s="10" t="s">
        <v>1359</v>
      </c>
      <c r="E22" s="10" t="s">
        <v>1364</v>
      </c>
      <c r="F22" s="10" t="s">
        <v>1361</v>
      </c>
    </row>
    <row r="23" spans="1:6">
      <c r="A23" s="10">
        <v>18</v>
      </c>
      <c r="B23" s="11" t="s">
        <v>1349</v>
      </c>
      <c r="C23" s="10" t="s">
        <v>1376</v>
      </c>
      <c r="D23" s="10" t="s">
        <v>1350</v>
      </c>
      <c r="E23" s="10" t="s">
        <v>1368</v>
      </c>
      <c r="F23" s="10" t="s">
        <v>1362</v>
      </c>
    </row>
    <row r="24" spans="1:6">
      <c r="A24" s="10">
        <v>19</v>
      </c>
      <c r="B24" s="11" t="s">
        <v>1349</v>
      </c>
      <c r="C24" s="10" t="s">
        <v>157</v>
      </c>
      <c r="D24" s="10" t="s">
        <v>1353</v>
      </c>
      <c r="E24" s="10" t="s">
        <v>1351</v>
      </c>
      <c r="F24" s="10" t="s">
        <v>1354</v>
      </c>
    </row>
    <row r="25" spans="1:6">
      <c r="A25" s="10">
        <v>20</v>
      </c>
      <c r="B25" s="11" t="s">
        <v>1349</v>
      </c>
      <c r="C25" s="10" t="s">
        <v>1377</v>
      </c>
      <c r="D25" s="10" t="s">
        <v>1363</v>
      </c>
      <c r="E25" s="10" t="s">
        <v>1351</v>
      </c>
      <c r="F25" s="10" t="s">
        <v>1365</v>
      </c>
    </row>
    <row r="26" spans="1:6">
      <c r="A26" s="10">
        <v>21</v>
      </c>
      <c r="B26" s="11" t="s">
        <v>1349</v>
      </c>
      <c r="C26" s="10" t="s">
        <v>176</v>
      </c>
      <c r="D26" s="10" t="s">
        <v>389</v>
      </c>
      <c r="E26" s="10" t="s">
        <v>1357</v>
      </c>
      <c r="F26" s="10" t="s">
        <v>1366</v>
      </c>
    </row>
    <row r="27" spans="1:6">
      <c r="A27" s="10">
        <v>22</v>
      </c>
      <c r="B27" s="11" t="s">
        <v>1349</v>
      </c>
      <c r="C27" s="10" t="s">
        <v>169</v>
      </c>
      <c r="D27" s="10" t="s">
        <v>1367</v>
      </c>
      <c r="E27" s="10" t="s">
        <v>1360</v>
      </c>
      <c r="F27" s="10" t="s">
        <v>1369</v>
      </c>
    </row>
    <row r="28" spans="1:6">
      <c r="A28" s="10">
        <v>23</v>
      </c>
      <c r="B28" s="11" t="s">
        <v>1349</v>
      </c>
      <c r="C28" s="10" t="s">
        <v>1378</v>
      </c>
      <c r="D28" s="10" t="s">
        <v>1370</v>
      </c>
      <c r="E28" s="10" t="s">
        <v>1351</v>
      </c>
      <c r="F28" s="10" t="s">
        <v>1371</v>
      </c>
    </row>
    <row r="29" spans="1:6">
      <c r="A29" s="10">
        <v>24</v>
      </c>
      <c r="B29" s="11" t="s">
        <v>1349</v>
      </c>
      <c r="C29" s="10" t="s">
        <v>399</v>
      </c>
      <c r="D29" s="10" t="s">
        <v>1350</v>
      </c>
      <c r="E29" s="10" t="s">
        <v>1351</v>
      </c>
      <c r="F29" s="10" t="s">
        <v>1362</v>
      </c>
    </row>
    <row r="30" spans="1:6">
      <c r="A30" s="10">
        <v>25</v>
      </c>
      <c r="B30" s="11" t="s">
        <v>1349</v>
      </c>
      <c r="C30" s="10" t="s">
        <v>1379</v>
      </c>
      <c r="D30" s="10" t="s">
        <v>1359</v>
      </c>
      <c r="E30" s="10" t="s">
        <v>1364</v>
      </c>
      <c r="F30" s="10" t="s">
        <v>1361</v>
      </c>
    </row>
    <row r="31" spans="1:6">
      <c r="A31" s="10">
        <v>26</v>
      </c>
      <c r="B31" s="11" t="s">
        <v>1349</v>
      </c>
      <c r="C31" s="10" t="s">
        <v>104</v>
      </c>
      <c r="D31" s="10" t="s">
        <v>1372</v>
      </c>
      <c r="E31" s="10" t="s">
        <v>1364</v>
      </c>
      <c r="F31" s="10" t="s">
        <v>1373</v>
      </c>
    </row>
    <row r="32" spans="1:6">
      <c r="A32" s="10">
        <v>27</v>
      </c>
      <c r="B32" s="11" t="s">
        <v>1349</v>
      </c>
      <c r="C32" s="10" t="s">
        <v>186</v>
      </c>
      <c r="D32" s="10" t="s">
        <v>1350</v>
      </c>
      <c r="E32" s="10" t="s">
        <v>1368</v>
      </c>
      <c r="F32" s="10" t="s">
        <v>1362</v>
      </c>
    </row>
    <row r="33" spans="1:6">
      <c r="A33" s="10">
        <v>28</v>
      </c>
      <c r="B33" s="11" t="s">
        <v>1349</v>
      </c>
      <c r="C33" s="10" t="s">
        <v>1380</v>
      </c>
      <c r="D33" s="10" t="s">
        <v>1353</v>
      </c>
      <c r="E33" s="10" t="s">
        <v>1351</v>
      </c>
      <c r="F33" s="10" t="s">
        <v>1354</v>
      </c>
    </row>
    <row r="34" spans="1:6">
      <c r="A34" s="10">
        <v>29</v>
      </c>
      <c r="B34" s="11" t="s">
        <v>1349</v>
      </c>
      <c r="C34" s="10" t="s">
        <v>191</v>
      </c>
      <c r="D34" s="10" t="s">
        <v>1356</v>
      </c>
      <c r="E34" s="10" t="s">
        <v>1351</v>
      </c>
      <c r="F34" s="10" t="s">
        <v>1358</v>
      </c>
    </row>
    <row r="35" spans="1:6">
      <c r="A35" s="10">
        <v>30</v>
      </c>
      <c r="B35" s="11" t="s">
        <v>1349</v>
      </c>
      <c r="C35" s="10" t="s">
        <v>409</v>
      </c>
      <c r="D35" s="10" t="s">
        <v>1359</v>
      </c>
      <c r="E35" s="10" t="s">
        <v>1357</v>
      </c>
      <c r="F35" s="10" t="s">
        <v>1361</v>
      </c>
    </row>
    <row r="36" spans="1:6">
      <c r="A36" s="10">
        <v>31</v>
      </c>
      <c r="B36" s="11" t="s">
        <v>1349</v>
      </c>
      <c r="C36" s="10" t="s">
        <v>181</v>
      </c>
      <c r="D36" s="10" t="s">
        <v>1350</v>
      </c>
      <c r="E36" s="10" t="s">
        <v>1360</v>
      </c>
      <c r="F36" s="10" t="s">
        <v>1362</v>
      </c>
    </row>
    <row r="37" spans="1:6">
      <c r="A37" s="10">
        <v>32</v>
      </c>
      <c r="B37" s="11" t="s">
        <v>1349</v>
      </c>
      <c r="C37" s="10" t="s">
        <v>164</v>
      </c>
      <c r="D37" s="10" t="s">
        <v>1353</v>
      </c>
      <c r="E37" s="10" t="s">
        <v>1351</v>
      </c>
      <c r="F37" s="10" t="s">
        <v>1354</v>
      </c>
    </row>
    <row r="38" spans="1:6">
      <c r="A38" s="10">
        <v>33</v>
      </c>
      <c r="B38" s="11" t="s">
        <v>1349</v>
      </c>
      <c r="C38" s="10" t="s">
        <v>199</v>
      </c>
      <c r="D38" s="10" t="s">
        <v>1363</v>
      </c>
      <c r="E38" s="10" t="s">
        <v>1351</v>
      </c>
      <c r="F38" s="10" t="s">
        <v>1365</v>
      </c>
    </row>
    <row r="39" spans="1:6">
      <c r="A39" s="10">
        <v>34</v>
      </c>
      <c r="B39" s="11" t="s">
        <v>1349</v>
      </c>
      <c r="C39" s="10" t="s">
        <v>1381</v>
      </c>
      <c r="D39" s="10" t="s">
        <v>389</v>
      </c>
      <c r="E39" s="10" t="s">
        <v>1364</v>
      </c>
      <c r="F39" s="10" t="s">
        <v>1366</v>
      </c>
    </row>
    <row r="40" spans="1:6">
      <c r="A40" s="10">
        <v>35</v>
      </c>
      <c r="B40" s="11" t="s">
        <v>1349</v>
      </c>
      <c r="C40" s="10" t="s">
        <v>208</v>
      </c>
      <c r="D40" s="10" t="s">
        <v>1367</v>
      </c>
      <c r="E40" s="10" t="s">
        <v>1364</v>
      </c>
      <c r="F40" s="10" t="s">
        <v>1369</v>
      </c>
    </row>
    <row r="41" spans="1:6">
      <c r="A41" s="10">
        <v>36</v>
      </c>
      <c r="B41" s="11" t="s">
        <v>1349</v>
      </c>
      <c r="C41" s="10" t="s">
        <v>1382</v>
      </c>
      <c r="D41" s="10" t="s">
        <v>1370</v>
      </c>
      <c r="E41" s="10" t="s">
        <v>1368</v>
      </c>
      <c r="F41" s="10" t="s">
        <v>1371</v>
      </c>
    </row>
    <row r="42" spans="1:6">
      <c r="A42" s="10">
        <v>37</v>
      </c>
      <c r="B42" s="11" t="s">
        <v>1349</v>
      </c>
      <c r="C42" s="10" t="s">
        <v>136</v>
      </c>
      <c r="D42" s="10" t="s">
        <v>1350</v>
      </c>
      <c r="E42" s="10" t="s">
        <v>1351</v>
      </c>
      <c r="F42" s="10" t="s">
        <v>1362</v>
      </c>
    </row>
    <row r="43" spans="1:6">
      <c r="A43" s="10">
        <v>38</v>
      </c>
      <c r="B43" s="11" t="s">
        <v>1349</v>
      </c>
      <c r="C43" s="10" t="s">
        <v>1054</v>
      </c>
      <c r="D43" s="10" t="s">
        <v>1359</v>
      </c>
      <c r="E43" s="10" t="s">
        <v>1351</v>
      </c>
      <c r="F43" s="10" t="s">
        <v>1361</v>
      </c>
    </row>
    <row r="44" spans="1:6">
      <c r="A44" s="10">
        <v>39</v>
      </c>
      <c r="B44" s="11" t="s">
        <v>1349</v>
      </c>
      <c r="C44" s="10" t="s">
        <v>219</v>
      </c>
      <c r="D44" s="10" t="s">
        <v>1372</v>
      </c>
      <c r="E44" s="10" t="s">
        <v>1357</v>
      </c>
      <c r="F44" s="10" t="s">
        <v>1373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C13"/>
  <sheetViews>
    <sheetView workbookViewId="0">
      <selection activeCell="B46" sqref="B46"/>
    </sheetView>
  </sheetViews>
  <sheetFormatPr defaultColWidth="9" defaultRowHeight="13.5" outlineLevelCol="2"/>
  <cols>
    <col min="1" max="2" width="9" style="1"/>
    <col min="3" max="3" width="26.5" style="1" customWidth="1"/>
  </cols>
  <sheetData>
    <row r="1" ht="16.5" spans="1:3">
      <c r="A1" s="2" t="s">
        <v>0</v>
      </c>
      <c r="B1" s="2" t="s">
        <v>1383</v>
      </c>
      <c r="C1" s="2" t="s">
        <v>1384</v>
      </c>
    </row>
    <row r="2" ht="16.5" spans="1:3">
      <c r="A2" s="2" t="s">
        <v>29</v>
      </c>
      <c r="B2" s="2" t="s">
        <v>32</v>
      </c>
      <c r="C2" s="2" t="s">
        <v>1385</v>
      </c>
    </row>
    <row r="3" ht="33" spans="1:3">
      <c r="A3" s="2" t="s">
        <v>1386</v>
      </c>
      <c r="B3" s="2" t="s">
        <v>1387</v>
      </c>
      <c r="C3" s="2" t="s">
        <v>1388</v>
      </c>
    </row>
    <row r="4" ht="16.5" spans="1:3">
      <c r="A4" s="2" t="s">
        <v>83</v>
      </c>
      <c r="B4" s="2" t="s">
        <v>84</v>
      </c>
      <c r="C4" s="2" t="s">
        <v>84</v>
      </c>
    </row>
    <row r="5" ht="16.5" spans="1:3">
      <c r="A5" s="2" t="s">
        <v>88</v>
      </c>
      <c r="B5" s="2"/>
      <c r="C5" s="2"/>
    </row>
    <row r="6" spans="1:3">
      <c r="A6" s="1">
        <v>1</v>
      </c>
      <c r="B6" s="1" t="s">
        <v>1389</v>
      </c>
      <c r="C6" s="1" t="s">
        <v>1390</v>
      </c>
    </row>
    <row r="7" spans="1:3">
      <c r="A7" s="1">
        <v>2</v>
      </c>
      <c r="B7" s="1" t="s">
        <v>1391</v>
      </c>
      <c r="C7" s="1" t="s">
        <v>1392</v>
      </c>
    </row>
    <row r="8" spans="1:3">
      <c r="A8" s="1">
        <v>3</v>
      </c>
      <c r="B8" s="1" t="s">
        <v>1393</v>
      </c>
      <c r="C8" s="1" t="s">
        <v>1392</v>
      </c>
    </row>
    <row r="9" spans="1:3">
      <c r="A9" s="1">
        <v>4</v>
      </c>
      <c r="B9" s="1" t="s">
        <v>1394</v>
      </c>
      <c r="C9" s="1" t="s">
        <v>1395</v>
      </c>
    </row>
    <row r="10" spans="1:3">
      <c r="A10" s="1">
        <v>5</v>
      </c>
      <c r="B10" s="1" t="s">
        <v>1396</v>
      </c>
      <c r="C10" s="1" t="s">
        <v>1392</v>
      </c>
    </row>
    <row r="11" spans="1:3">
      <c r="A11" s="1">
        <v>6</v>
      </c>
      <c r="B11" s="1" t="s">
        <v>1397</v>
      </c>
      <c r="C11" s="1" t="s">
        <v>1390</v>
      </c>
    </row>
    <row r="12" spans="1:3">
      <c r="A12" s="1">
        <v>7</v>
      </c>
      <c r="B12" s="1" t="s">
        <v>1398</v>
      </c>
      <c r="C12" s="1" t="s">
        <v>1392</v>
      </c>
    </row>
    <row r="13" spans="1:3">
      <c r="A13" s="1">
        <v>8</v>
      </c>
      <c r="B13" s="1" t="s">
        <v>1399</v>
      </c>
      <c r="C13" s="1" t="s">
        <v>1395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统帅</vt:lpstr>
      <vt:lpstr>统帅技能</vt:lpstr>
      <vt:lpstr>统帅熟练度等级</vt:lpstr>
      <vt:lpstr>统帅等级奖励</vt:lpstr>
      <vt:lpstr>统帅推荐牌组</vt:lpstr>
      <vt:lpstr>标签定义表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史莱姆</cp:lastModifiedBy>
  <dcterms:created xsi:type="dcterms:W3CDTF">2022-06-27T03:22:00Z</dcterms:created>
  <dcterms:modified xsi:type="dcterms:W3CDTF">2026-07-17T09:11:17Z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43EA510EAD284C5BB5CDF352DEAF3BA2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